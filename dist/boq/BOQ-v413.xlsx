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20" tabRatio="600" firstSheet="0" activeTab="10" autoFilterDateGrouping="1"/>
  </bookViews>
  <sheets>
    <sheet name="สรุป" sheetId="1" state="visible" r:id="rId1"/>
    <sheet name="สรุปราคา" sheetId="2" state="visible" r:id="rId2"/>
    <sheet name="ข้อสมมติ" sheetId="3" state="visible" r:id="rId3"/>
    <sheet name="ผนังก่ออิฐ" sheetId="4" state="visible" r:id="rId4"/>
    <sheet name="ปูนก่อ-ฉาบ-ทับหลัง" sheetId="5" state="visible" r:id="rId5"/>
    <sheet name="พื้นและกระเบื้อง" sheetId="6" state="visible" r:id="rId6"/>
    <sheet name="หลังคา" sheetId="7" state="visible" r:id="rId7"/>
    <sheet name="ประตู-หน้าต่าง" sheetId="8" state="visible" r:id="rId8"/>
    <sheet name="Sheet1" sheetId="9" state="visible" r:id="rId9"/>
    <sheet name="เสาและคอนกรีต" sheetId="10" state="visible" r:id="rId10"/>
    <sheet name="สีทา" sheetId="11" state="visible" r:id="rId11"/>
    <sheet name="ไฟฟ้า" sheetId="12" state="visible" r:id="rId12"/>
    <sheet name="ประปา-สุขาภิบาล" sheetId="13" state="visible" r:id="rId13"/>
    <sheet name="สุขภัณฑ์-ครัว" sheetId="14" state="visible" r:id="rId14"/>
    <sheet name="ฝ้าเพดาน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"/>
    <numFmt numFmtId="166" formatCode="0.000"/>
    <numFmt numFmtId="167" formatCode="0.00000"/>
    <numFmt numFmtId="168" formatCode="#,##0.##"/>
    <numFmt numFmtId="169" formatCode="#,##0.00;\-#,##0.00;&quot;-&quot;"/>
    <numFmt numFmtId="170" formatCode="#,##0.00;-#,##0.00;&quot;-&quot;"/>
  </numFmts>
  <fonts count="47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i val="1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rgb="FF808080"/>
      <sz val="10"/>
    </font>
    <font>
      <name val="Arial"/>
      <family val="2"/>
      <b val="1"/>
      <sz val="14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Calibri"/>
      <family val="2"/>
      <color rgb="FF0000FF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i val="1"/>
      <sz val="9"/>
    </font>
    <font>
      <name val="Arial"/>
      <family val="2"/>
      <color rgb="FF0000FF"/>
      <sz val="10"/>
    </font>
    <font>
      <name val="Calibri"/>
      <family val="2"/>
      <color rgb="FF008000"/>
      <sz val="11"/>
      <scheme val="minor"/>
    </font>
    <font>
      <name val="Arial"/>
      <family val="2"/>
      <b val="1"/>
      <sz val="14"/>
    </font>
    <font>
      <name val="Arial"/>
      <family val="2"/>
      <i val="1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sz val="10"/>
    </font>
    <font>
      <name val="Arial"/>
      <b val="1"/>
      <sz val="12"/>
    </font>
    <font>
      <name val="Arial"/>
      <color rgb="000000FF"/>
      <sz val="10"/>
    </font>
  </fonts>
  <fills count="2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26" fillId="0" borderId="0"/>
    <xf numFmtId="43" fontId="26" fillId="0" borderId="0"/>
  </cellStyleXfs>
  <cellXfs count="15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6" fillId="0" borderId="1" pivotButton="0" quotePrefix="0" xfId="0"/>
    <xf numFmtId="0" fontId="8" fillId="0" borderId="1" pivotButton="0" quotePrefix="0" xfId="0"/>
    <xf numFmtId="164" fontId="6" fillId="0" borderId="1" pivotButton="0" quotePrefix="0" xfId="0"/>
    <xf numFmtId="1" fontId="6" fillId="0" borderId="1" pivotButton="0" quotePrefix="0" xfId="0"/>
    <xf numFmtId="2" fontId="6" fillId="0" borderId="1" pivotButton="0" quotePrefix="0" xfId="0"/>
    <xf numFmtId="165" fontId="4" fillId="3" borderId="1" pivotButton="0" quotePrefix="0" xfId="0"/>
    <xf numFmtId="0" fontId="3" fillId="0" borderId="1" applyAlignment="1" pivotButton="0" quotePrefix="0" xfId="0">
      <alignment wrapText="1"/>
    </xf>
    <xf numFmtId="9" fontId="4" fillId="3" borderId="1" pivotButton="0" quotePrefix="0" xfId="0"/>
    <xf numFmtId="2" fontId="4" fillId="3" borderId="1" pivotButton="0" quotePrefix="0" xfId="0"/>
    <xf numFmtId="166" fontId="4" fillId="3" borderId="1" pivotButton="0" quotePrefix="0" xfId="0"/>
    <xf numFmtId="0" fontId="5" fillId="0" borderId="0" pivotButton="0" quotePrefix="0" xfId="0"/>
    <xf numFmtId="2" fontId="4" fillId="0" borderId="1" pivotButton="0" quotePrefix="0" xfId="0"/>
    <xf numFmtId="166" fontId="4" fillId="0" borderId="1" pivotButton="0" quotePrefix="0" xfId="0"/>
    <xf numFmtId="2" fontId="3" fillId="0" borderId="1" pivotButton="0" quotePrefix="0" xfId="0"/>
    <xf numFmtId="3" fontId="3" fillId="0" borderId="1" pivotButton="0" quotePrefix="0" xfId="0"/>
    <xf numFmtId="0" fontId="6" fillId="4" borderId="1" pivotButton="0" quotePrefix="0" xfId="0"/>
    <xf numFmtId="0" fontId="3" fillId="4" borderId="1" pivotButton="0" quotePrefix="0" xfId="0"/>
    <xf numFmtId="4" fontId="6" fillId="4" borderId="1" pivotButton="0" quotePrefix="0" xfId="0"/>
    <xf numFmtId="3" fontId="6" fillId="4" borderId="1" pivotButton="0" quotePrefix="0" xfId="0"/>
    <xf numFmtId="2" fontId="6" fillId="4" borderId="1" pivotButton="0" quotePrefix="0" xfId="0"/>
    <xf numFmtId="0" fontId="6" fillId="0" borderId="0" pivotButton="0" quotePrefix="0" xfId="0"/>
    <xf numFmtId="166" fontId="3" fillId="0" borderId="1" pivotButton="0" quotePrefix="0" xfId="0"/>
    <xf numFmtId="165" fontId="3" fillId="0" borderId="1" pivotButton="0" quotePrefix="0" xfId="0"/>
    <xf numFmtId="1" fontId="6" fillId="4" borderId="1" pivotButton="0" quotePrefix="0" xfId="0"/>
    <xf numFmtId="1" fontId="4" fillId="0" borderId="1" pivotButton="0" quotePrefix="0" xfId="0"/>
    <xf numFmtId="0" fontId="11" fillId="0" borderId="0" pivotButton="0" quotePrefix="0" xfId="0"/>
    <xf numFmtId="1" fontId="11" fillId="0" borderId="0" pivotButton="0" quotePrefix="0" xfId="0"/>
    <xf numFmtId="2" fontId="11" fillId="0" borderId="0" pivotButton="0" quotePrefix="0" xfId="0"/>
    <xf numFmtId="0" fontId="2" fillId="5" borderId="1" applyAlignment="1" pivotButton="0" quotePrefix="0" xfId="0">
      <alignment horizontal="center" wrapText="1"/>
    </xf>
    <xf numFmtId="0" fontId="9" fillId="0" borderId="1" pivotButton="0" quotePrefix="0" xfId="0"/>
    <xf numFmtId="1" fontId="9" fillId="0" borderId="1" pivotButton="0" quotePrefix="0" xfId="0"/>
    <xf numFmtId="2" fontId="9" fillId="0" borderId="1" pivotButton="0" quotePrefix="0" xfId="0"/>
    <xf numFmtId="0" fontId="10" fillId="6" borderId="1" pivotButton="0" quotePrefix="0" xfId="0"/>
    <xf numFmtId="1" fontId="10" fillId="6" borderId="1" pivotButton="0" quotePrefix="0" xfId="0"/>
    <xf numFmtId="2" fontId="10" fillId="6" borderId="1" pivotButton="0" quotePrefix="0" xfId="0"/>
    <xf numFmtId="0" fontId="14" fillId="0" borderId="2" pivotButton="0" quotePrefix="0" xfId="0"/>
    <xf numFmtId="164" fontId="14" fillId="0" borderId="2" pivotButton="0" quotePrefix="0" xfId="0"/>
    <xf numFmtId="0" fontId="12" fillId="0" borderId="0" pivotButton="0" quotePrefix="0" xfId="0"/>
    <xf numFmtId="0" fontId="13" fillId="7" borderId="2" applyAlignment="1" pivotButton="0" quotePrefix="0" xfId="0">
      <alignment horizontal="center" wrapText="1"/>
    </xf>
    <xf numFmtId="1" fontId="15" fillId="0" borderId="2" pivotButton="0" quotePrefix="0" xfId="0"/>
    <xf numFmtId="0" fontId="16" fillId="8" borderId="2" pivotButton="0" quotePrefix="0" xfId="0"/>
    <xf numFmtId="1" fontId="16" fillId="8" borderId="2" pivotButton="0" quotePrefix="0" xfId="0"/>
    <xf numFmtId="0" fontId="15" fillId="0" borderId="2" pivotButton="0" quotePrefix="0" xfId="0"/>
    <xf numFmtId="0" fontId="17" fillId="0" borderId="0" pivotButton="0" quotePrefix="0" xfId="0"/>
    <xf numFmtId="9" fontId="15" fillId="9" borderId="0" pivotButton="0" quotePrefix="0" xfId="0"/>
    <xf numFmtId="2" fontId="15" fillId="0" borderId="2" pivotButton="0" quotePrefix="0" xfId="0"/>
    <xf numFmtId="9" fontId="14" fillId="0" borderId="2" pivotButton="0" quotePrefix="0" xfId="0"/>
    <xf numFmtId="2" fontId="14" fillId="0" borderId="2" pivotButton="0" quotePrefix="0" xfId="0"/>
    <xf numFmtId="1" fontId="14" fillId="0" borderId="2" pivotButton="0" quotePrefix="0" xfId="0"/>
    <xf numFmtId="0" fontId="16" fillId="0" borderId="0" pivotButton="0" quotePrefix="0" xfId="0"/>
    <xf numFmtId="0" fontId="2" fillId="7" borderId="3" applyAlignment="1" pivotButton="0" quotePrefix="0" xfId="0">
      <alignment horizontal="center" vertical="center" wrapText="1"/>
    </xf>
    <xf numFmtId="3" fontId="0" fillId="0" borderId="0" pivotButton="0" quotePrefix="0" xfId="0"/>
    <xf numFmtId="3" fontId="18" fillId="0" borderId="0" pivotButton="0" quotePrefix="0" xfId="0"/>
    <xf numFmtId="3" fontId="19" fillId="0" borderId="0" pivotButton="0" quotePrefix="0" xfId="0"/>
    <xf numFmtId="0" fontId="20" fillId="0" borderId="0" pivotButton="0" quotePrefix="0" xfId="0"/>
    <xf numFmtId="0" fontId="21" fillId="10" borderId="4" applyAlignment="1" pivotButton="0" quotePrefix="0" xfId="0">
      <alignment horizontal="center" wrapText="1"/>
    </xf>
    <xf numFmtId="0" fontId="22" fillId="0" borderId="4" pivotButton="0" quotePrefix="0" xfId="0"/>
    <xf numFmtId="2" fontId="23" fillId="0" borderId="4" pivotButton="0" quotePrefix="0" xfId="0"/>
    <xf numFmtId="0" fontId="24" fillId="11" borderId="4" pivotButton="0" quotePrefix="0" xfId="0"/>
    <xf numFmtId="2" fontId="24" fillId="11" borderId="4" pivotButton="0" quotePrefix="0" xfId="0"/>
    <xf numFmtId="0" fontId="25" fillId="0" borderId="0" pivotButton="0" quotePrefix="0" xfId="0"/>
    <xf numFmtId="0" fontId="21" fillId="10" borderId="4" applyAlignment="1" pivotButton="0" quotePrefix="0" xfId="0">
      <alignment horizontal="center" vertical="center" wrapText="1"/>
    </xf>
    <xf numFmtId="2" fontId="23" fillId="12" borderId="4" pivotButton="0" quotePrefix="0" xfId="0"/>
    <xf numFmtId="167" fontId="23" fillId="12" borderId="4" pivotButton="0" quotePrefix="0" xfId="0"/>
    <xf numFmtId="166" fontId="23" fillId="12" borderId="4" pivotButton="0" quotePrefix="0" xfId="0"/>
    <xf numFmtId="3" fontId="23" fillId="12" borderId="4" pivotButton="0" quotePrefix="0" xfId="0"/>
    <xf numFmtId="1" fontId="23" fillId="12" borderId="4" pivotButton="0" quotePrefix="0" xfId="0"/>
    <xf numFmtId="0" fontId="23" fillId="0" borderId="4" pivotButton="0" quotePrefix="0" xfId="0"/>
    <xf numFmtId="9" fontId="23" fillId="12" borderId="4" pivotButton="0" quotePrefix="0" xfId="0"/>
    <xf numFmtId="2" fontId="22" fillId="0" borderId="4" pivotButton="0" quotePrefix="0" xfId="0"/>
    <xf numFmtId="0" fontId="22" fillId="11" borderId="4" pivotButton="0" quotePrefix="0" xfId="0"/>
    <xf numFmtId="165" fontId="22" fillId="0" borderId="4" pivotButton="0" quotePrefix="0" xfId="0"/>
    <xf numFmtId="166" fontId="22" fillId="0" borderId="4" pivotButton="0" quotePrefix="0" xfId="0"/>
    <xf numFmtId="3" fontId="22" fillId="0" borderId="4" pivotButton="0" quotePrefix="0" xfId="0"/>
    <xf numFmtId="0" fontId="24" fillId="0" borderId="4" pivotButton="0" quotePrefix="0" xfId="0"/>
    <xf numFmtId="164" fontId="22" fillId="0" borderId="4" pivotButton="0" quotePrefix="0" xfId="0"/>
    <xf numFmtId="3" fontId="24" fillId="11" borderId="4" pivotButton="0" quotePrefix="0" xfId="0"/>
    <xf numFmtId="165" fontId="24" fillId="11" borderId="4" pivotButton="0" quotePrefix="0" xfId="0"/>
    <xf numFmtId="43" fontId="0" fillId="0" borderId="0" pivotButton="0" quotePrefix="0" xfId="1"/>
    <xf numFmtId="0" fontId="30" fillId="0" borderId="0" pivotButton="0" quotePrefix="0" xfId="0"/>
    <xf numFmtId="0" fontId="28" fillId="13" borderId="5" applyAlignment="1" pivotButton="0" quotePrefix="0" xfId="0">
      <alignment horizontal="center"/>
    </xf>
    <xf numFmtId="0" fontId="29" fillId="0" borderId="5" pivotButton="0" quotePrefix="0" xfId="0"/>
    <xf numFmtId="9" fontId="31" fillId="14" borderId="5" pivotButton="0" quotePrefix="0" xfId="0"/>
    <xf numFmtId="168" fontId="29" fillId="0" borderId="5" pivotButton="0" quotePrefix="0" xfId="0"/>
    <xf numFmtId="0" fontId="30" fillId="0" borderId="5" pivotButton="0" quotePrefix="0" xfId="0"/>
    <xf numFmtId="0" fontId="27" fillId="0" borderId="0" pivotButton="0" quotePrefix="0" xfId="0"/>
    <xf numFmtId="1" fontId="31" fillId="14" borderId="5" pivotButton="0" quotePrefix="0" xfId="0"/>
    <xf numFmtId="2" fontId="31" fillId="14" borderId="5" pivotButton="0" quotePrefix="0" xfId="0"/>
    <xf numFmtId="3" fontId="29" fillId="0" borderId="5" pivotButton="0" quotePrefix="0" xfId="0"/>
    <xf numFmtId="165" fontId="29" fillId="0" borderId="5" pivotButton="0" quotePrefix="0" xfId="0"/>
    <xf numFmtId="165" fontId="31" fillId="14" borderId="5" pivotButton="0" quotePrefix="0" xfId="0"/>
    <xf numFmtId="1" fontId="29" fillId="0" borderId="5" pivotButton="0" quotePrefix="0" xfId="0"/>
    <xf numFmtId="164" fontId="29" fillId="0" borderId="5" pivotButton="0" quotePrefix="0" xfId="0"/>
    <xf numFmtId="1" fontId="31" fillId="0" borderId="5" pivotButton="0" quotePrefix="0" xfId="0"/>
    <xf numFmtId="2" fontId="29" fillId="0" borderId="5" pivotButton="0" quotePrefix="0" xfId="0"/>
    <xf numFmtId="165" fontId="31" fillId="0" borderId="5" pivotButton="0" quotePrefix="0" xfId="0"/>
    <xf numFmtId="3" fontId="4" fillId="0" borderId="5" pivotButton="0" quotePrefix="0" xfId="0"/>
    <xf numFmtId="3" fontId="32" fillId="15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16" borderId="6" applyAlignment="1" pivotButton="0" quotePrefix="0" xfId="0">
      <alignment horizontal="center"/>
    </xf>
    <xf numFmtId="0" fontId="36" fillId="0" borderId="6" pivotButton="0" quotePrefix="0" xfId="0"/>
    <xf numFmtId="169" fontId="36" fillId="0" borderId="6" pivotButton="0" quotePrefix="0" xfId="0"/>
    <xf numFmtId="0" fontId="38" fillId="18" borderId="6" pivotButton="0" quotePrefix="0" xfId="0"/>
    <xf numFmtId="4" fontId="38" fillId="18" borderId="6" pivotButton="0" quotePrefix="0" xfId="0"/>
    <xf numFmtId="0" fontId="36" fillId="0" borderId="0" pivotButton="0" quotePrefix="0" xfId="0"/>
    <xf numFmtId="9" fontId="37" fillId="17" borderId="6" pivotButton="0" quotePrefix="0" xfId="0"/>
    <xf numFmtId="169" fontId="0" fillId="0" borderId="6" pivotButton="0" quotePrefix="0" xfId="0"/>
    <xf numFmtId="0" fontId="38" fillId="19" borderId="6" pivotButton="0" quotePrefix="0" xfId="0"/>
    <xf numFmtId="4" fontId="38" fillId="19" borderId="6" pivotButton="0" quotePrefix="0" xfId="0"/>
    <xf numFmtId="0" fontId="35" fillId="16" borderId="6" applyAlignment="1" pivotButton="0" quotePrefix="0" xfId="0">
      <alignment horizontal="center" vertical="center" wrapText="1"/>
    </xf>
    <xf numFmtId="168" fontId="36" fillId="0" borderId="6" pivotButton="0" quotePrefix="0" xfId="0"/>
    <xf numFmtId="4" fontId="37" fillId="17" borderId="6" pivotButton="0" quotePrefix="0" xfId="0"/>
    <xf numFmtId="0" fontId="34" fillId="0" borderId="6" pivotButton="0" quotePrefix="0" xfId="0"/>
    <xf numFmtId="168" fontId="37" fillId="17" borderId="6" pivotButton="0" quotePrefix="0" xfId="0"/>
    <xf numFmtId="0" fontId="35" fillId="16" borderId="6" applyAlignment="1" pivotButton="0" quotePrefix="0" xfId="0">
      <alignment horizontal="center" wrapText="1"/>
    </xf>
    <xf numFmtId="1" fontId="37" fillId="17" borderId="6" pivotButton="0" quotePrefix="0" xfId="0"/>
    <xf numFmtId="1" fontId="36" fillId="0" borderId="6" pivotButton="0" quotePrefix="0" xfId="0"/>
    <xf numFmtId="2" fontId="37" fillId="17" borderId="6" pivotButton="0" quotePrefix="0" xfId="0"/>
    <xf numFmtId="2" fontId="36" fillId="0" borderId="6" pivotButton="0" quotePrefix="0" xfId="0"/>
    <xf numFmtId="2" fontId="38" fillId="18" borderId="6" pivotButton="0" quotePrefix="0" xfId="0"/>
    <xf numFmtId="165" fontId="37" fillId="17" borderId="6" pivotButton="0" quotePrefix="0" xfId="0"/>
    <xf numFmtId="0" fontId="39" fillId="0" borderId="0" pivotButton="0" quotePrefix="0" xfId="0"/>
    <xf numFmtId="0" fontId="40" fillId="0" borderId="0" pivotButton="0" quotePrefix="0" xfId="0"/>
    <xf numFmtId="0" fontId="43" fillId="0" borderId="0" pivotButton="0" quotePrefix="0" xfId="0"/>
    <xf numFmtId="0" fontId="41" fillId="20" borderId="7" applyAlignment="1" pivotButton="0" quotePrefix="0" xfId="0">
      <alignment horizontal="center"/>
    </xf>
    <xf numFmtId="0" fontId="42" fillId="0" borderId="7" pivotButton="0" quotePrefix="0" xfId="0"/>
    <xf numFmtId="170" fontId="42" fillId="0" borderId="7" pivotButton="0" quotePrefix="0" xfId="0"/>
    <xf numFmtId="0" fontId="44" fillId="21" borderId="7" pivotButton="0" quotePrefix="0" xfId="0"/>
    <xf numFmtId="4" fontId="44" fillId="21" borderId="7" pivotButton="0" quotePrefix="0" xfId="0"/>
    <xf numFmtId="0" fontId="42" fillId="0" borderId="0" pivotButton="0" quotePrefix="0" xfId="0"/>
    <xf numFmtId="9" fontId="46" fillId="22" borderId="7" pivotButton="0" quotePrefix="0" xfId="0"/>
    <xf numFmtId="170" fontId="0" fillId="0" borderId="7" pivotButton="0" quotePrefix="0" xfId="0"/>
    <xf numFmtId="0" fontId="44" fillId="23" borderId="7" pivotButton="0" quotePrefix="0" xfId="0"/>
    <xf numFmtId="4" fontId="44" fillId="23" borderId="7" pivotButton="0" quotePrefix="0" xfId="0"/>
    <xf numFmtId="0" fontId="41" fillId="20" borderId="7" applyAlignment="1" pivotButton="0" quotePrefix="0" xfId="0">
      <alignment horizontal="center" vertical="center" wrapText="1"/>
    </xf>
    <xf numFmtId="168" fontId="42" fillId="0" borderId="7" pivotButton="0" quotePrefix="0" xfId="0"/>
    <xf numFmtId="4" fontId="46" fillId="22" borderId="7" pivotButton="0" quotePrefix="0" xfId="0"/>
    <xf numFmtId="0" fontId="43" fillId="0" borderId="7" pivotButton="0" quotePrefix="0" xfId="0"/>
    <xf numFmtId="168" fontId="46" fillId="22" borderId="7" pivotButton="0" quotePrefix="0" xfId="0"/>
    <xf numFmtId="168" fontId="29" fillId="0" borderId="5" pivotButton="0" quotePrefix="0" xfId="0"/>
    <xf numFmtId="0" fontId="41" fillId="20" borderId="7" applyAlignment="1" pivotButton="0" quotePrefix="0" xfId="0">
      <alignment horizontal="center" wrapText="1"/>
    </xf>
    <xf numFmtId="4" fontId="42" fillId="0" borderId="7" pivotButton="0" quotePrefix="0" xfId="0"/>
    <xf numFmtId="2" fontId="42" fillId="0" borderId="7" pivotButton="0" quotePrefix="0" xfId="0"/>
    <xf numFmtId="0" fontId="45" fillId="0" borderId="0" pivotButton="0" quotePrefix="0" xfId="0"/>
    <xf numFmtId="1" fontId="46" fillId="22" borderId="7" pivotButton="0" quotePrefix="0" xfId="0"/>
    <xf numFmtId="165" fontId="46" fillId="22" borderId="7" pivotButton="0" quotePrefix="0" xfId="0"/>
    <xf numFmtId="165" fontId="42" fillId="0" borderId="7" pivotButton="0" quotePrefix="0" xfId="0"/>
    <xf numFmtId="3" fontId="42" fillId="0" borderId="7" pivotButton="0" quotePrefix="0" xfId="0"/>
    <xf numFmtId="168" fontId="36" fillId="0" borderId="6" pivotButton="0" quotePrefix="0" xfId="0"/>
    <xf numFmtId="0" fontId="43" fillId="0" borderId="5" pivotButton="0" quotePrefix="0" xfId="0"/>
    <xf numFmtId="165" fontId="36" fillId="0" borderId="6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danupon kaewmart</author>
  </authors>
  <commentList>
    <comment ref="F16" authorId="0" shapeId="0">
      <text>
        <t>danupon kaewmart:
Source: ใบเสนอราคา MP aluminium (รูปที่ส่งมา) – หน้าต่างบานเลื่อน 4 ช่อง+ลูกฟัก 110*200 สีดำ-ชาดำ</t>
      </text>
    </comment>
    <comment ref="G16" authorId="0" shapeId="0">
      <text>
        <t>danupon kaewmart:
Source: ราคา PP windows (ข้อความที่ผู้ใช้ส่งมาในแชท) – หน้าต่าง 4 ช่อง สูง110 กว้าง200 สีดำกระจกชาดำลายตาราง+มุ้ง 2 ชุด ชุดละ 5,290</t>
      </text>
    </comment>
    <comment ref="H16" authorId="0" shapeId="0">
      <text>
        <t>danupon kaewmart:
Source: ใบเสนอราคา MP aluminium (รูปที่ส่งมา) – หน้าต่างบานกระทุ้ง 4 ช่อง+ลูกฟัก 110*200 สีดำ-ชาดำ (ทางเลือกแทนบานเลื่อน)</t>
      </text>
    </comment>
    <comment ref="I16" authorId="0" shapeId="0">
      <text>
        <t>danupon kaewmart:
Source: ราคา PP windows (ข้อความที่ผู้ใช้ส่งมาในแชท) – กระทุ้งเปิดข้าง แบ่ง 4 ช่อง สูง110 กว้าง200 สีดำกระจกชาดำลายตาราง+มุ้ง 2 ชุด ชุดละ 10,990 (ทางเลือก)</t>
      </text>
    </comment>
    <comment ref="F17" authorId="0" shapeId="0">
      <text>
        <t>danupon kaewmart:
Source: ใบเสนอราคา MP aluminium (รูปที่ส่งมา) – หน้าต่างบานกระทุ้ง+ลูก 150*50 สีดำ-ชาดำ (7 ชุด)</t>
      </text>
    </comment>
    <comment ref="G17" authorId="0" shapeId="0">
      <text>
        <t>danupon kaewmart:
Source: ราคา PP windows (ข้อความที่ผู้ใช้ส่งมาในแชท) – กระทุ้งเปิดข้าง สูง150 กว้าง50 สีดำกระจกชาดำลายตาราง+มุ้ง 7 ชุด ชุดละ 2,940</t>
      </text>
    </comment>
    <comment ref="F18" authorId="0" shapeId="0">
      <text>
        <t>danupon kaewmart:
Source: ใบเสนอราคา MP aluminium (รูปที่ส่งมา) – หน้าต่างบานกระทุ้ง+ลูก 150*50 สีดำ-ชาดำ (7 ชุด)</t>
      </text>
    </comment>
    <comment ref="G18" authorId="0" shapeId="0">
      <text>
        <t>danupon kaewmart:
Source: ราคา PP windows (ข้อความที่ผู้ใช้ส่งมาในแชท) – กระทุ้งเปิดข้าง สูง150 กว้าง50 สีดำกระจกชาดำลายตาราง+มุ้ง 7 ชุด ชุดละ 2,940</t>
      </text>
    </comment>
    <comment ref="F19" authorId="0" shapeId="0">
      <text>
        <t>danupon kaewmart:
Source: ใบเสนอราคา MP aluminium (รูปที่ส่งมา) – หน้าต่างบานกระทุ้ง+ลูก 150*50 สีดำ-ชาดำ (7 ชุด)</t>
      </text>
    </comment>
    <comment ref="G19" authorId="0" shapeId="0">
      <text>
        <t>danupon kaewmart:
Source: ราคา PP windows (ข้อความที่ผู้ใช้ส่งมาในแชท) – กระทุ้งเปิดข้าง สูง150 กว้าง50 สีดำกระจกชาดำลายตาราง+มุ้ง 7 ชุด ชุดละ 2,940</t>
      </text>
    </comment>
    <comment ref="F20" authorId="0" shapeId="0">
      <text>
        <t>danupon kaewmart:
Source: ใบเสนอราคา MP aluminium (รูปที่ส่งมา) – หน้าต่างบานเลื่อน 4 ช่อง+ลูกฟัก 110*200 สีดำ-ชาดำ</t>
      </text>
    </comment>
    <comment ref="G20" authorId="0" shapeId="0">
      <text>
        <t>danupon kaewmart:
Source: ราคา PP windows (ข้อความที่ผู้ใช้ส่งมาในแชท) – หน้าต่าง 4 ช่อง สูง110 กว้าง200 สีดำกระจกชาดำลายตาราง+มุ้ง 2 ชุด ชุดละ 5,290</t>
      </text>
    </comment>
    <comment ref="H20" authorId="0" shapeId="0">
      <text>
        <t>danupon kaewmart:
Source: ใบเสนอราคา MP aluminium (รูปที่ส่งมา) – หน้าต่างบานกระทุ้ง 4 ช่อง+ลูกฟัก 110*200 สีดำ-ชาดำ (ทางเลือกแทนบานเลื่อน)</t>
      </text>
    </comment>
    <comment ref="I20" authorId="0" shapeId="0">
      <text>
        <t>danupon kaewmart:
Source: ราคา PP windows (ข้อความที่ผู้ใช้ส่งมาในแชท) – กระทุ้งเปิดข้าง แบ่ง 4 ช่อง สูง110 กว้าง200 สีดำกระจกชาดำลายตาราง+มุ้ง 2 ชุด ชุดละ 10,990 (ทางเลือก)</t>
      </text>
    </comment>
    <comment ref="F21" authorId="0" shapeId="0">
      <text>
        <t>danupon kaewmart:
Source: ใบเสนอราคา MP aluminium (รูปที่ส่งมา) – หน้าต่างบานกระทุ้ง+ลูก 150*50 สีดำ-ชาดำ (7 ชุด)</t>
      </text>
    </comment>
    <comment ref="G21" authorId="0" shapeId="0">
      <text>
        <t>danupon kaewmart:
Source: ราคา PP windows (ข้อความที่ผู้ใช้ส่งมาในแชท) – กระทุ้งเปิดข้าง สูง150 กว้าง50 สีดำกระจกชาดำลายตาราง+มุ้ง 7 ชุด ชุดละ 2,940</t>
      </text>
    </comment>
    <comment ref="F22" authorId="0" shapeId="0">
      <text>
        <t>danupon kaewmart:
Source: ใบเสนอราคา MP aluminium (รูปที่ส่งมา) – หน้าต่างบานกระทุ้ง+ลูก 150*50 สีดำ-ชาดำ (7 ชุด)</t>
      </text>
    </comment>
    <comment ref="G22" authorId="0" shapeId="0">
      <text>
        <t>danupon kaewmart:
Source: ราคา PP windows (ข้อความที่ผู้ใช้ส่งมาในแชท) – กระทุ้งเปิดข้าง สูง150 กว้าง50 สีดำกระจกชาดำลายตาราง+มุ้ง 7 ชุด ชุดละ 2,940</t>
      </text>
    </comment>
    <comment ref="F23" authorId="0" shapeId="0">
      <text>
        <t>danupon kaewmart:
Source: ใบเสนอราคา MP aluminium (รูปที่ส่งมา) – หน้าต่างบานกระทุ้ง 4 ช่อง+ลูกฟัก 180*200 สีดำ-ชาดำ</t>
      </text>
    </comment>
    <comment ref="G23" authorId="0" shapeId="0">
      <text>
        <t>danupon kaewmart:
Source: ราคา PP windows (ข้อความที่ผู้ใช้ส่งมาในแชท) – กระทุ้งเปิดข้าง แบ่ง 4 ช่อง สูง180 กว้าง200 สีดำกระจกชาดำลายตาราง+มุ้ง 1 ชุด ชุดละ 16,290</t>
      </text>
    </comment>
    <comment ref="I23" authorId="0" shapeId="0">
      <text>
        <t>danupon kaewmart:
Source: ราคา PP windows (ข้อความที่ผู้ใช้ส่งมาในแชท) – หน้าต่าง 4 ช่อง สูง180 กว้าง200 สีดำกระจกชาดำลายตาราง+มุ้ง 1 ชุด ชุดละ 9,690 (ทางเลือก บานเลื่อน)</t>
      </text>
    </comment>
    <comment ref="F24" authorId="0" shapeId="0">
      <text>
        <t>danupon kaewmart:
Source: ใบเสนอราคา MP aluminium (รูปที่ส่งมา) – หน้าต่างบานเลื่อน 2 ช่อง+ลูกฟัก 110*120 สีดำ-ชาดำ</t>
      </text>
    </comment>
    <comment ref="G24" authorId="0" shapeId="0">
      <text>
        <t>danupon kaewmart:
Source: ราคา PP windows (ข้อความที่ผู้ใช้ส่งมาในแชท) – หน้าต่างเลื่อนสลับ 2 ช่อง สูง110 กว้าง120 สีดำกระจกชาดำลายตาราง+มุ้ง 1 ชุด ชุดละ 2,640</t>
      </text>
    </comment>
    <comment ref="H24" authorId="0" shapeId="0">
      <text>
        <t>danupon kaewmart:
Source: ใบเสนอราคา MP aluminium (รูปที่ส่งมา) – หน้าต่างบานกระทุ้งเปิดกลาง+ลูกฟัก 110*120 สีดำ-ชาดำ (ทางเลือกแทนบานเลื่อน)</t>
      </text>
    </comment>
    <comment ref="I24" authorId="0" shapeId="0">
      <text>
        <t>danupon kaewmart:
Source: ราคา PP windows (ข้อความที่ผู้ใช้ส่งมาในแชท) – กระทุ้งเปิดข้าง แบ่ง 2 ช่อง สูง110 กว้าง120 มือจับตรงกลาง +มุ้ง 1 ชุด ชุดละ 5,590 (ทางเลือก)</t>
      </text>
    </comment>
    <comment ref="F25" authorId="0" shapeId="0">
      <text>
        <t>danupon kaewmart:
Source: ใบเสนอราคา MP aluminium (รูปที่ส่งมา) – หน้าต่างบานกระทุ้ง+ลูก 150*50 สีดำ-ชาดำ (7 ชุด)</t>
      </text>
    </comment>
    <comment ref="G25" authorId="0" shapeId="0">
      <text>
        <t>danupon kaewmart:
Source: ราคา PP windows (ข้อความที่ผู้ใช้ส่งมาในแชท) – กระทุ้งเปิดข้าง สูง150 กว้าง50 สีดำกระจกชาดำลายตาราง+มุ้ง 7 ชุด ชุดละ 2,940</t>
      </text>
    </comment>
    <comment ref="F26" authorId="0" shapeId="0">
      <text>
        <t>danupon kaewmart:
Source: ใบเสนอราคา MP aluminium (รูปที่ส่งมา) – หน้าต่างบานกระทุ้ง+ลูก 150*50 สีดำ-ชาดำ (7 ชุด)</t>
      </text>
    </comment>
    <comment ref="G26" authorId="0" shapeId="0">
      <text>
        <t>danupon kaewmart:
Source: ราคา PP windows (ข้อความที่ผู้ใช้ส่งมาในแชท) – กระทุ้งเปิดข้าง สูง150 กว้าง50 สีดำกระจกชาดำลายตาราง+มุ้ง 7 ชุด ชุดละ 2,940</t>
      </text>
    </comment>
    <comment ref="F27" authorId="0" shapeId="0">
      <text>
        <t>danupon kaewmart:
Source: ใบเสนอราคา MP aluminium (รูปที่ส่งมา) – หน้าต่างบานเลื่อนห้องน้ำ 50*80 สีดำ-ฝ้า+มุ้ง (ใบเสนอราคาระบุ 3 ชุด)</t>
      </text>
    </comment>
    <comment ref="G27" authorId="0" shapeId="0">
      <text>
        <t>danupon kaewmart:
Source: ราคา PP windows (ข้อความที่ผู้ใช้ส่งมาในแชท) – หน้าต่างเลื่อนสลับ 2 ช่อง สูง50 กว้าง80 สีดำกระจกฝ้า+มุ้ง 3 ชุด ชุดละ 1,140</t>
      </text>
    </comment>
    <comment ref="F28" authorId="0" shapeId="0">
      <text>
        <t>danupon kaewmart:
Source: ใบเสนอราคา MP aluminium (รูปที่ส่งมา) – หน้าต่างบานเลื่อนห้องน้ำ 50*80 สีดำ-ฝ้า+มุ้ง (ใบเสนอราคาระบุ 3 ชุด)</t>
      </text>
    </comment>
    <comment ref="G28" authorId="0" shapeId="0">
      <text>
        <t>danupon kaewmart:
Source: ราคา PP windows (ข้อความที่ผู้ใช้ส่งมาในแชท) – หน้าต่างเลื่อนสลับ 2 ช่อง สูง50 กว้าง80 สีดำกระจกฝ้า+มุ้ง 3 ชุด ชุดละ 1,140</t>
      </text>
    </comment>
    <comment ref="F29" authorId="0" shapeId="0">
      <text>
        <t>danupon kaewmart:
Source: ใบเสนอราคา MP aluminium (รูปที่ส่งมา) – หน้าต่างบานเลื่อนห้องน้ำ 50*80 สีดำ-ฝ้า+มุ้ง (ใบเสนอราคาระบุ 3 ชุด)</t>
      </text>
    </comment>
    <comment ref="G29" authorId="0" shapeId="0">
      <text>
        <t>danupon kaewmart:
Source: ราคา PP windows (ข้อความที่ผู้ใช้ส่งมาในแชท) – หน้าต่างเลื่อนสลับ 2 ช่อง สูง50 กว้าง80 สีดำกระจกฝ้า+มุ้ง 3 ชุด ชุดละ 1,140</t>
      </text>
    </comment>
    <comment ref="F30" authorId="0" shapeId="0">
      <text>
        <t>danupon kaewmart:
Source: ใบเสนอราคา MP aluminium (รูปที่ส่งมา) – หน้าต่างบานเลื่อนห้องน้ำ 50*80 สีดำ-ฝ้า+มุ้ง (ใบเสนอราคาระบุ 3 ชุด)</t>
      </text>
    </comment>
    <comment ref="G30" authorId="0" shapeId="0">
      <text>
        <t>danupon kaewmart:
Source: ราคา PP windows (ข้อความที่ผู้ใช้ส่งมาในแชท) – หน้าต่างเลื่อนสลับ 2 ช่อง สูง50 กว้าง80 สีดำกระจกฝ้า+มุ้ง 3 ชุด ชุดละ 1,140</t>
      </text>
    </comment>
    <comment ref="F31" authorId="0" shapeId="0">
      <text>
        <t>danupon kaewmart:
Source: ใบเสนอราคา MP aluminium (รูปที่ส่งมา) – ประตูบานเลื่อน 4 ช่อง+ลูกฟัก 200*200 สีดำ-ชาดำ</t>
      </text>
    </comment>
    <comment ref="G31" authorId="0" shapeId="0">
      <text>
        <t>danupon kaewmart:
Source: ราคา PP windows (ข้อความที่ผู้ใช้ส่งมาในแชท) – ประตู 4 ช่อง สูง200 กว้าง200 สีดำกระจกชาดำลายตาราง+มุ้ง 1 ชุด ชุดละ 8,490</t>
      </text>
    </comment>
    <comment ref="F32" authorId="0" shapeId="0">
      <text>
        <t>danupon kaewmart:
Source: ใบเสนอราคา MP aluminium (รูปที่ส่งมา) – หน้าต่างบานเลื่อนห้องน้ำ 50*80 สีดำ-ฝ้า+มุ้ง (ใบเสนอราคาระบุ 3 ชุด)</t>
      </text>
    </comment>
    <comment ref="G32" authorId="0" shapeId="0">
      <text>
        <t>danupon kaewmart:
Source: ราคา PP windows (ข้อความที่ผู้ใช้ส่งมาในแชท) – หน้าต่างเลื่อนสลับ 2 ช่อง สูง50 กว้าง80 สีดำกระจกฝ้า+มุ้ง 3 ชุด ชุดละ 1,140</t>
      </text>
    </comment>
    <comment ref="F33" authorId="0" shapeId="0">
      <text>
        <t>danupon kaewmart:
Source: ใบเสนอราคา MP aluminium (รูปที่ส่งมา) – หน้าต่างบานเลื่อนห้องน้ำ 50*80 สีดำ-ฝ้า+มุ้ง (ใบเสนอราคาระบุ 3 ชุด)</t>
      </text>
    </comment>
    <comment ref="G33" authorId="0" shapeId="0">
      <text>
        <t>danupon kaewmart:
Source: ราคา PP windows (ข้อความที่ผู้ใช้ส่งมาในแชท) – หน้าต่างเลื่อนสลับ 2 ช่อง สูง50 กว้าง80 สีดำกระจกฝ้า+มุ้ง 3 ชุด ชุดละ 1,140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10" defaultColWidth="8.83203125" defaultRowHeight="15"/>
  <cols>
    <col width="46" customWidth="1" min="1" max="1"/>
    <col width="16" customWidth="1" min="2" max="2"/>
    <col width="14" customWidth="1" min="3" max="3"/>
    <col width="52" customWidth="1" min="4" max="4"/>
  </cols>
  <sheetData>
    <row r="1" ht="18" customHeight="1">
      <c r="A1" s="1" t="inlineStr">
        <is>
          <t>สรุปปริมาณงาน บ้านชั้นเดียว 3 ห้องนอน (Blender v413)</t>
        </is>
      </c>
    </row>
    <row r="2">
      <c r="A2" s="2" t="inlineStr">
        <is>
          <t>ตัวเลขทั้งหมดเป็นการคำนวณเบื้องต้นจากโมเดล ใช้ประกอบการประเมินราคา ไม่ใช่ปริมาณสั่งซื้อจริง</t>
        </is>
      </c>
    </row>
    <row r="4" ht="32" customHeight="1">
      <c r="A4" s="3" t="inlineStr">
        <is>
          <t>รายการ</t>
        </is>
      </c>
      <c r="B4" s="3" t="inlineStr">
        <is>
          <t>ปริมาณ</t>
        </is>
      </c>
      <c r="C4" s="3" t="inlineStr">
        <is>
          <t>หน่วย</t>
        </is>
      </c>
      <c r="D4" s="3" t="inlineStr">
        <is>
          <t>หมายเหตุ</t>
        </is>
      </c>
    </row>
    <row r="5">
      <c r="A5" s="4" t="inlineStr">
        <is>
          <t>อิฐบล็อก 7x19x39 ซม. (รวมเผื่อเสีย)</t>
        </is>
      </c>
      <c r="B5" s="5">
        <f>ผนังก่ออิฐ!$H$26</f>
        <v/>
      </c>
      <c r="C5" s="4" t="inlineStr">
        <is>
          <t>ก้อน</t>
        </is>
      </c>
      <c r="D5" s="6" t="inlineStr">
        <is>
          <t>ผนัง 21 ชิ้น สูง 3.0 ม. หักช่องเปิด</t>
        </is>
      </c>
    </row>
    <row r="6">
      <c r="A6" s="4" t="inlineStr">
        <is>
          <t>พื้นที่ก่อผนังสุทธิ</t>
        </is>
      </c>
      <c r="B6" s="7">
        <f>ผนังก่ออิฐ!$G$25</f>
        <v/>
      </c>
      <c r="C6" s="4" t="inlineStr">
        <is>
          <t>ตร.ม.</t>
        </is>
      </c>
      <c r="D6" s="6" t="n"/>
    </row>
    <row r="7">
      <c r="A7" s="4" t="inlineStr">
        <is>
          <t>กระเบื้องพื้น 60x60 รวมทุกแห่ง (รวมเผื่อเสีย)</t>
        </is>
      </c>
      <c r="B7" s="5">
        <f>พื้นและกระเบื้อง!$E$10</f>
        <v/>
      </c>
      <c r="C7" s="4" t="inlineStr">
        <is>
          <t>แผ่น</t>
        </is>
      </c>
      <c r="D7" s="6" t="inlineStr">
        <is>
          <t>พื้นบ้าน ห้องน้ำ และบันไดทั้งสองชุด</t>
        </is>
      </c>
    </row>
    <row r="8">
      <c r="A8" s="4" t="inlineStr">
        <is>
          <t>กระเบื้องผนังห้องน้ำ 30x60 (รวมเผื่อเสีย)</t>
        </is>
      </c>
      <c r="B8" s="5">
        <f>พื้นและกระเบื้อง!$E$27</f>
        <v/>
      </c>
      <c r="C8" s="4" t="inlineStr">
        <is>
          <t>แผ่น</t>
        </is>
      </c>
      <c r="D8" s="6" t="inlineStr">
        <is>
          <t>สูง 2.60 ม.</t>
        </is>
      </c>
    </row>
    <row r="9">
      <c r="A9" s="4" t="inlineStr">
        <is>
          <t>พื้นที่หลังคาตามลาด (รวมหลังคาเพิง)</t>
        </is>
      </c>
      <c r="B9" s="7">
        <f>หลังคา!$D$9</f>
        <v/>
      </c>
      <c r="C9" s="4" t="inlineStr">
        <is>
          <t>ตร.ม.</t>
        </is>
      </c>
      <c r="D9" s="6" t="inlineStr">
        <is>
          <t>ความลาด 17.1° และ 5°</t>
        </is>
      </c>
    </row>
    <row r="10">
      <c r="A10" s="4" t="inlineStr">
        <is>
          <t>แผ่นหลังคา PU ลอน 760 (ประมาณ รวมเผื่อเสีย)</t>
        </is>
      </c>
      <c r="B10" s="5">
        <f>หลังคา!$F$9</f>
        <v/>
      </c>
      <c r="C10" s="4" t="inlineStr">
        <is>
          <t>แผ่น</t>
        </is>
      </c>
      <c r="D10" s="6" t="inlineStr">
        <is>
          <t>ประมาณเบื้องต้น ต้องแยกแผ่นตามแบบจริง</t>
        </is>
      </c>
    </row>
    <row r="11">
      <c r="A11" s="4" t="inlineStr">
        <is>
          <t>ประตู (รวมบานคู่หน้าบ้าน)</t>
        </is>
      </c>
      <c r="B11" s="8">
        <f>'ประตู-หน้าต่าง'!$B$13</f>
        <v/>
      </c>
      <c r="C11" s="4" t="inlineStr">
        <is>
          <t>บาน</t>
        </is>
      </c>
      <c r="D11" s="6" t="n"/>
    </row>
    <row r="12">
      <c r="A12" s="4" t="inlineStr">
        <is>
          <t>หน้าต่าง</t>
        </is>
      </c>
      <c r="B12" s="8">
        <f>'ประตู-หน้าต่าง'!$B$34</f>
        <v/>
      </c>
      <c r="C12" s="4" t="inlineStr">
        <is>
          <t>บาน</t>
        </is>
      </c>
      <c r="D12" s="6" t="n"/>
    </row>
    <row r="13">
      <c r="A13" s="4" t="inlineStr">
        <is>
          <t>เสา</t>
        </is>
      </c>
      <c r="B13" s="8">
        <f>เสาและคอนกรีต!D4</f>
        <v/>
      </c>
      <c r="C13" s="4" t="inlineStr">
        <is>
          <t>ต้น</t>
        </is>
      </c>
      <c r="D13" s="6" t="n"/>
    </row>
    <row r="14">
      <c r="A14" s="4" t="inlineStr">
        <is>
          <t>คอนกรีตเสา</t>
        </is>
      </c>
      <c r="B14" s="9">
        <f>เสาและคอนกรีต!E4</f>
        <v/>
      </c>
      <c r="C14" s="4" t="inlineStr">
        <is>
          <t>ลบ.ม.</t>
        </is>
      </c>
      <c r="D14" s="6" t="n"/>
    </row>
    <row r="15">
      <c r="A15" s="4" t="inlineStr">
        <is>
          <t>พื้นที่ทาสี TOA 21001</t>
        </is>
      </c>
      <c r="B15" s="7">
        <f>สีทา!$D$10</f>
        <v/>
      </c>
      <c r="C15" s="4" t="inlineStr">
        <is>
          <t>ตร.ม.</t>
        </is>
      </c>
      <c r="D15" s="6" t="inlineStr">
        <is>
          <t>ผนัง 2 ด้าน คานรอบบ้าน เสา</t>
        </is>
      </c>
    </row>
    <row r="16">
      <c r="A16" s="48" t="inlineStr">
        <is>
          <t>แก้ล่าสุด 13 ต.ค. 2569: หน้าต่าง W7 W8 W10 สูง 1.10 ม., ถอดก๊อกครัวนอก+C1, สวิตช์ห้องน้ำ 2 เป็น 2 ตัว, โคมห้อยโต๊ะ, ฝ้าลานเพิ่ม 2 โซน, เสาอากาศทีวี UHF | 15 ต.ค. 2569: ไฟหลุมลานหน้า 6 ดวง + ฝ้าลอนลายไม้ลานหน้า (ยาวถึงห้องนอน 1), ไฟผนังกล่องดำข้างประตูหลัก 2 ดวง, สวิตช์ 3 ปุ่ม 2 ทางหน้าบ้าน, ถอดช่องลมจั่ว 4 ช่อง</t>
        </is>
      </c>
    </row>
    <row r="17">
      <c r="A17" s="2" t="inlineStr">
        <is>
          <t>ค่าสมมติและที่มาอยู่ในชีต "ข้อสมมติ" (แก้ได้ที่ช่องสีน้ำเงิน ตัวเลขทั้งหมดจะเปลี่ยนตาม)</t>
        </is>
      </c>
    </row>
    <row r="18">
      <c r="A18" s="40" t="inlineStr">
        <is>
          <t>จุดติดตั้งอุปกรณ์ไฟฟ้า (เต้ารับ/สวิตช์/กล่อง)</t>
        </is>
      </c>
      <c r="B18" s="41">
        <f>ไฟฟ้า!B12</f>
        <v/>
      </c>
      <c r="C18" s="40" t="inlineStr">
        <is>
          <t>จุด</t>
        </is>
      </c>
    </row>
    <row r="19">
      <c r="A19" s="40" t="inlineStr">
        <is>
          <t>ท่อน้ำดี+น้ำทิ้ง+โสโครก (รวมเผื่อ)</t>
        </is>
      </c>
      <c r="B19" s="41">
        <f>SUMIF('ประปา-สุขาภิบาล'!A4:A12,"ท่อ*",'ประปา-สุขาภิบาล'!D4:D12)</f>
        <v/>
      </c>
      <c r="C19" s="40" t="inlineStr">
        <is>
          <t>ม.</t>
        </is>
      </c>
    </row>
    <row r="20">
      <c r="A20" s="40" t="inlineStr">
        <is>
          <t>ฝ้าเพดานรวม (ในบ้าน + ฝ้าลอนลายไม้ลานหน้า + ลาน 2 โซน)</t>
        </is>
      </c>
      <c r="B20" s="41">
        <f>ฝ้าเพดาน!B8</f>
        <v/>
      </c>
      <c r="C20" s="40" t="inlineStr">
        <is>
          <t>ตร.ม.</t>
        </is>
      </c>
    </row>
    <row r="21">
      <c r="A21" s="40" t="inlineStr">
        <is>
          <t>ปูนซีเมนต์ ก่อ+ฉาบ+ทับหลัง (ผสมเอง รวมเผื่อ 5%)</t>
        </is>
      </c>
      <c r="B21" s="41">
        <f>'ปูนก่อ-ฉาบ-ทับหลัง'!C70</f>
        <v/>
      </c>
      <c r="C21" s="40" t="inlineStr">
        <is>
          <t>ถุง</t>
        </is>
      </c>
    </row>
    <row r="22">
      <c r="A22" s="40" t="inlineStr">
        <is>
          <t>ทรายก่อ-ฉาบ-ทับหลัง (รวมเผื่อ 5%)</t>
        </is>
      </c>
      <c r="B22" s="41">
        <f>'ปูนก่อ-ฉาบ-ทับหลัง'!C71</f>
        <v/>
      </c>
      <c r="C22" s="40" t="inlineStr">
        <is>
          <t>ลบ.ม.</t>
        </is>
      </c>
    </row>
    <row r="23">
      <c r="A23" s="40" t="inlineStr">
        <is>
          <t>คอนกรีตเอ็นทับหลัง</t>
        </is>
      </c>
      <c r="B23" s="41">
        <f>'ปูนก่อ-ฉาบ-ทับหลัง'!B53</f>
        <v/>
      </c>
      <c r="C23" s="40" t="inlineStr">
        <is>
          <t>ลบ.ม.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78" customWidth="1" min="3" max="3"/>
    <col width="14" customWidth="1" min="4" max="4"/>
    <col width="14" customWidth="1" min="5" max="5"/>
    <col width="18" customWidth="1" min="6" max="6"/>
    <col width="18" customWidth="1" min="7" max="7"/>
    <col width="46" customWidth="1" min="8" max="8"/>
  </cols>
  <sheetData>
    <row r="1">
      <c r="A1" s="128" t="inlineStr">
        <is>
          <t>สรุปราคาวัสดุโดยประมาณ (กรอกราคาต่อหน่วยเอง)</t>
        </is>
      </c>
    </row>
    <row r="2">
      <c r="A2" s="129" t="inlineStr">
        <is>
          <t>กรอกเฉพาะช่องสีเหลือง "ราคาต่อหน่วย" ยอดรวมจะคำนวณให้ จำนวนดึงมาจากชีตต่าง ๆ โดยอัตโนมัติ รายการที่ไม่มีจำนวน (เหมา) ให้กรอกจำนวนเอง ราคายังไม่รวมค่าแรง ค่าขนส่ง และ VAT เว้นแต่กรอกในช่องด้านล่าง</t>
        </is>
      </c>
    </row>
    <row r="3">
      <c r="B3" s="130" t="inlineStr">
        <is>
          <t>หมวด</t>
        </is>
      </c>
      <c r="G3" s="130" t="inlineStr">
        <is>
          <t>ยอดรวม (บาท)</t>
        </is>
      </c>
    </row>
    <row r="4">
      <c r="B4" s="131" t="inlineStr">
        <is>
          <t>ผนังก่ออิฐ</t>
        </is>
      </c>
      <c r="G4" s="132">
        <f>SUMIF($B$22:$B$120,B4,$G$22:$G$120)</f>
        <v/>
      </c>
    </row>
    <row r="5">
      <c r="B5" s="131" t="inlineStr">
        <is>
          <t>ปูนก่อ-ฉาบ-ทับหลัง</t>
        </is>
      </c>
      <c r="G5" s="132">
        <f>SUMIF($B$22:$B$120,B5,$G$22:$G$120)</f>
        <v/>
      </c>
    </row>
    <row r="6">
      <c r="B6" s="131" t="inlineStr">
        <is>
          <t>พื้นและกระเบื้อง</t>
        </is>
      </c>
      <c r="G6" s="132">
        <f>SUMIF($B$22:$B$120,B6,$G$22:$G$120)</f>
        <v/>
      </c>
    </row>
    <row r="7">
      <c r="B7" s="131" t="inlineStr">
        <is>
          <t>หลังคา</t>
        </is>
      </c>
      <c r="G7" s="132">
        <f>SUMIF($B$22:$B$120,B7,$G$22:$G$120)</f>
        <v/>
      </c>
    </row>
    <row r="8">
      <c r="B8" s="131" t="inlineStr">
        <is>
          <t>ประตู-หน้าต่าง</t>
        </is>
      </c>
      <c r="G8" s="132">
        <f>SUMIF($B$22:$B$120,B8,$G$22:$G$120)</f>
        <v/>
      </c>
    </row>
    <row r="9">
      <c r="B9" s="131" t="inlineStr">
        <is>
          <t>Sheet1</t>
        </is>
      </c>
      <c r="G9" s="132">
        <f>SUMIF($B$22:$B$120,B9,$G$22:$G$120)</f>
        <v/>
      </c>
    </row>
    <row r="10">
      <c r="B10" s="131" t="inlineStr">
        <is>
          <t>เสาและคอนกรีต</t>
        </is>
      </c>
      <c r="G10" s="132">
        <f>SUMIF($B$22:$B$120,B10,$G$22:$G$120)</f>
        <v/>
      </c>
    </row>
    <row r="11">
      <c r="B11" s="131" t="inlineStr">
        <is>
          <t>สีทา</t>
        </is>
      </c>
      <c r="G11" s="132">
        <f>SUMIF($B$22:$B$120,B11,$G$22:$G$120)</f>
        <v/>
      </c>
    </row>
    <row r="12">
      <c r="B12" s="131" t="inlineStr">
        <is>
          <t>ไฟฟ้า</t>
        </is>
      </c>
      <c r="G12" s="132">
        <f>SUMIF($B$22:$B$120,B12,$G$22:$G$120)</f>
        <v/>
      </c>
    </row>
    <row r="13">
      <c r="B13" s="131" t="inlineStr">
        <is>
          <t>ประปา-สุขาภิบาล</t>
        </is>
      </c>
      <c r="G13" s="132">
        <f>SUMIF($B$22:$B$120,B13,$G$22:$G$120)</f>
        <v/>
      </c>
    </row>
    <row r="14">
      <c r="B14" s="131" t="inlineStr">
        <is>
          <t>ฝ้าเพดาน</t>
        </is>
      </c>
      <c r="G14" s="132">
        <f>SUMIF($B$22:$B$120,B14,$G$22:$G$120)</f>
        <v/>
      </c>
    </row>
    <row r="15">
      <c r="B15" s="131" t="inlineStr">
        <is>
          <t>สุขภัณฑ์-ครัว</t>
        </is>
      </c>
      <c r="G15" s="132">
        <f>SUMIF($B$22:$B$120,B15,$G$22:$G$120)</f>
        <v/>
      </c>
    </row>
    <row r="16">
      <c r="B16" s="133" t="inlineStr">
        <is>
          <t>รวมค่าวัสดุตามรายการ</t>
        </is>
      </c>
      <c r="G16" s="134">
        <f>SUM(G4:G15)</f>
        <v/>
      </c>
    </row>
    <row r="17">
      <c r="B17" s="135" t="inlineStr">
        <is>
          <t>ค่าขนส่ง/เบ็ดเตล็ด (% ของค่าวัสดุ)</t>
        </is>
      </c>
      <c r="F17" s="136" t="n">
        <v>0</v>
      </c>
      <c r="G17" s="137">
        <f>G16*F17</f>
        <v/>
      </c>
    </row>
    <row r="18">
      <c r="B18" s="135" t="inlineStr">
        <is>
          <t>ภาษีมูลค่าเพิ่ม (ใส่ 7% ถ้าราคาที่กรอกยังไม่รวม VAT)</t>
        </is>
      </c>
      <c r="F18" s="136" t="n">
        <v>0</v>
      </c>
      <c r="G18" s="137">
        <f>(G16+G17)*F18</f>
        <v/>
      </c>
    </row>
    <row r="19">
      <c r="B19" s="138" t="inlineStr">
        <is>
          <t>รวมทั้งสิ้น (โดยประมาณ)</t>
        </is>
      </c>
      <c r="G19" s="139">
        <f>G16+G17+G18</f>
        <v/>
      </c>
    </row>
    <row r="21">
      <c r="A21" s="140" t="inlineStr">
        <is>
          <t>ลำดับ</t>
        </is>
      </c>
      <c r="B21" s="140" t="inlineStr">
        <is>
          <t>หมวด</t>
        </is>
      </c>
      <c r="C21" s="140" t="inlineStr">
        <is>
          <t>รายการ</t>
        </is>
      </c>
      <c r="D21" s="140" t="inlineStr">
        <is>
          <t>จำนวน</t>
        </is>
      </c>
      <c r="E21" s="140" t="inlineStr">
        <is>
          <t>หน่วย</t>
        </is>
      </c>
      <c r="F21" s="140" t="inlineStr">
        <is>
          <t>ราคาต่อหน่วย (บาท)</t>
        </is>
      </c>
      <c r="G21" s="140" t="inlineStr">
        <is>
          <t>รวม (บาท)</t>
        </is>
      </c>
      <c r="H21" s="140" t="inlineStr">
        <is>
          <t>หมายเหตุ</t>
        </is>
      </c>
    </row>
    <row r="22">
      <c r="A22" s="131" t="n">
        <v>1</v>
      </c>
      <c r="B22" s="131" t="inlineStr">
        <is>
          <t>ผนังก่ออิฐ</t>
        </is>
      </c>
      <c r="C22" s="131">
        <f>'ผนังก่ออิฐ'!A33</f>
        <v/>
      </c>
      <c r="D22" s="141">
        <f>'ผนังก่ออิฐ'!B33</f>
        <v/>
      </c>
      <c r="E22" s="131">
        <f>'ผนังก่ออิฐ'!C33</f>
        <v/>
      </c>
      <c r="F22" s="142" t="n">
        <v>6.5</v>
      </c>
      <c r="G22" s="132">
        <f>IF(OR(D22="",F22=""),0,D22*F22)</f>
        <v/>
      </c>
      <c r="H22" s="143">
        <f>IF('ผนังก่ออิฐ'!D33="","",'ผนังก่ออิฐ'!D33)</f>
        <v/>
      </c>
    </row>
    <row r="23">
      <c r="A23" s="131" t="n">
        <v>2</v>
      </c>
      <c r="B23" s="131" t="inlineStr">
        <is>
          <t>ปูนก่อ-ฉาบ-ทับหลัง</t>
        </is>
      </c>
      <c r="C23" s="131">
        <f>'ปูนก่อ-ฉาบ-ทับหลัง'!A86</f>
        <v/>
      </c>
      <c r="D23" s="141">
        <f>'ปูนก่อ-ฉาบ-ทับหลัง'!B86</f>
        <v/>
      </c>
      <c r="E23" s="131">
        <f>'ปูนก่อ-ฉาบ-ทับหลัง'!C86</f>
        <v/>
      </c>
      <c r="F23" s="142" t="n">
        <v>120</v>
      </c>
      <c r="G23" s="132">
        <f>IF(OR(D23="",F23=""),0,D23*F23)</f>
        <v/>
      </c>
      <c r="H23" s="143">
        <f>IF('ปูนก่อ-ฉาบ-ทับหลัง'!D86="","",'ปูนก่อ-ฉาบ-ทับหลัง'!D86)</f>
        <v/>
      </c>
    </row>
    <row r="24">
      <c r="A24" s="131" t="n">
        <v>3</v>
      </c>
      <c r="B24" s="131" t="inlineStr">
        <is>
          <t>ปูนก่อ-ฉาบ-ทับหลัง</t>
        </is>
      </c>
      <c r="C24" s="131">
        <f>'ปูนก่อ-ฉาบ-ทับหลัง'!A87</f>
        <v/>
      </c>
      <c r="D24" s="141">
        <f>'ปูนก่อ-ฉาบ-ทับหลัง'!B87</f>
        <v/>
      </c>
      <c r="E24" s="131">
        <f>'ปูนก่อ-ฉาบ-ทับหลัง'!C87</f>
        <v/>
      </c>
      <c r="F24" s="142" t="n">
        <v>600</v>
      </c>
      <c r="G24" s="132">
        <f>IF(OR(D24="",F24=""),0,D24*F24)</f>
        <v/>
      </c>
      <c r="H24" s="143">
        <f>IF('ปูนก่อ-ฉาบ-ทับหลัง'!D87="","",'ปูนก่อ-ฉาบ-ทับหลัง'!D87)</f>
        <v/>
      </c>
    </row>
    <row r="25">
      <c r="A25" s="131" t="n">
        <v>4</v>
      </c>
      <c r="B25" s="131" t="inlineStr">
        <is>
          <t>ปูนก่อ-ฉาบ-ทับหลัง</t>
        </is>
      </c>
      <c r="C25" s="131">
        <f>'ปูนก่อ-ฉาบ-ทับหลัง'!A88</f>
        <v/>
      </c>
      <c r="D25" s="141">
        <f>'ปูนก่อ-ฉาบ-ทับหลัง'!B88</f>
        <v/>
      </c>
      <c r="E25" s="131">
        <f>'ปูนก่อ-ฉาบ-ทับหลัง'!C88</f>
        <v/>
      </c>
      <c r="F25" s="142" t="n">
        <v>800</v>
      </c>
      <c r="G25" s="132">
        <f>IF(OR(D25="",F25=""),0,D25*F25)</f>
        <v/>
      </c>
      <c r="H25" s="143">
        <f>IF('ปูนก่อ-ฉาบ-ทับหลัง'!D88="","",'ปูนก่อ-ฉาบ-ทับหลัง'!D88)</f>
        <v/>
      </c>
    </row>
    <row r="26">
      <c r="A26" s="131" t="n">
        <v>5</v>
      </c>
      <c r="B26" s="131" t="inlineStr">
        <is>
          <t>ปูนก่อ-ฉาบ-ทับหลัง</t>
        </is>
      </c>
      <c r="C26" s="131">
        <f>'ปูนก่อ-ฉาบ-ทับหลัง'!A89</f>
        <v/>
      </c>
      <c r="D26" s="141">
        <f>'ปูนก่อ-ฉาบ-ทับหลัง'!B89</f>
        <v/>
      </c>
      <c r="E26" s="131">
        <f>'ปูนก่อ-ฉาบ-ทับหลัง'!C89</f>
        <v/>
      </c>
      <c r="F26" s="142" t="n">
        <v>119.18</v>
      </c>
      <c r="G26" s="132">
        <f>IF(OR(D26="",F26=""),0,D26*F26)</f>
        <v/>
      </c>
      <c r="H26" s="143">
        <f>IF('ปูนก่อ-ฉาบ-ทับหลัง'!D89="","",'ปูนก่อ-ฉาบ-ทับหลัง'!D89)</f>
        <v/>
      </c>
    </row>
    <row r="27">
      <c r="A27" s="131" t="n">
        <v>6</v>
      </c>
      <c r="B27" s="131" t="inlineStr">
        <is>
          <t>ปูนก่อ-ฉาบ-ทับหลัง</t>
        </is>
      </c>
      <c r="C27" s="131">
        <f>'ปูนก่อ-ฉาบ-ทับหลัง'!A90</f>
        <v/>
      </c>
      <c r="D27" s="141">
        <f>'ปูนก่อ-ฉาบ-ทับหลัง'!B90</f>
        <v/>
      </c>
      <c r="E27" s="131">
        <f>'ปูนก่อ-ฉาบ-ทับหลัง'!C90</f>
        <v/>
      </c>
      <c r="F27" s="142" t="n">
        <v>47.51</v>
      </c>
      <c r="G27" s="132">
        <f>IF(OR(D27="",F27=""),0,D27*F27)</f>
        <v/>
      </c>
      <c r="H27" s="143">
        <f>IF('ปูนก่อ-ฉาบ-ทับหลัง'!D90="","",'ปูนก่อ-ฉาบ-ทับหลัง'!D90)</f>
        <v/>
      </c>
    </row>
    <row r="28">
      <c r="A28" s="131" t="n">
        <v>7</v>
      </c>
      <c r="B28" s="131" t="inlineStr">
        <is>
          <t>ปูนก่อ-ฉาบ-ทับหลัง</t>
        </is>
      </c>
      <c r="C28" s="131">
        <f>'ปูนก่อ-ฉาบ-ทับหลัง'!A91</f>
        <v/>
      </c>
      <c r="D28" s="141">
        <f>'ปูนก่อ-ฉาบ-ทับหลัง'!B91</f>
        <v/>
      </c>
      <c r="E28" s="131">
        <f>'ปูนก่อ-ฉาบ-ทับหลัง'!C91</f>
        <v/>
      </c>
      <c r="F28" s="142" t="n"/>
      <c r="G28" s="132">
        <f>IF(OR(D28="",F28=""),0,D28*F28)</f>
        <v/>
      </c>
      <c r="H28" s="143">
        <f>IF('ปูนก่อ-ฉาบ-ทับหลัง'!D91="","",'ปูนก่อ-ฉาบ-ทับหลัง'!D91)</f>
        <v/>
      </c>
    </row>
    <row r="29">
      <c r="A29" s="131" t="n">
        <v>8</v>
      </c>
      <c r="B29" s="131" t="inlineStr">
        <is>
          <t>พื้นและกระเบื้อง</t>
        </is>
      </c>
      <c r="C29" s="131">
        <f>'พื้นและกระเบื้อง'!A38</f>
        <v/>
      </c>
      <c r="D29" s="141">
        <f>'พื้นและกระเบื้อง'!B38</f>
        <v/>
      </c>
      <c r="E29" s="131">
        <f>'พื้นและกระเบื้อง'!C38</f>
        <v/>
      </c>
      <c r="F29" s="142" t="n">
        <v>250</v>
      </c>
      <c r="G29" s="132">
        <f>IF(OR(D29="",F29=""),0,D29*F29)</f>
        <v/>
      </c>
      <c r="H29" s="143">
        <f>IF('พื้นและกระเบื้อง'!D38="","",'พื้นและกระเบื้อง'!D38)</f>
        <v/>
      </c>
    </row>
    <row r="30">
      <c r="A30" s="131" t="n">
        <v>9</v>
      </c>
      <c r="B30" s="131" t="inlineStr">
        <is>
          <t>พื้นและกระเบื้อง</t>
        </is>
      </c>
      <c r="C30" s="131">
        <f>'พื้นและกระเบื้อง'!A39</f>
        <v/>
      </c>
      <c r="D30" s="141">
        <f>'พื้นและกระเบื้อง'!B39</f>
        <v/>
      </c>
      <c r="E30" s="131">
        <f>'พื้นและกระเบื้อง'!C39</f>
        <v/>
      </c>
      <c r="F30" s="142" t="n">
        <v>250</v>
      </c>
      <c r="G30" s="132">
        <f>IF(OR(D30="",F30=""),0,D30*F30)</f>
        <v/>
      </c>
      <c r="H30" s="143">
        <f>IF('พื้นและกระเบื้อง'!D39="","",'พื้นและกระเบื้อง'!D39)</f>
        <v/>
      </c>
    </row>
    <row r="31">
      <c r="A31" s="131" t="n">
        <v>10</v>
      </c>
      <c r="B31" s="131" t="inlineStr">
        <is>
          <t>พื้นและกระเบื้อง</t>
        </is>
      </c>
      <c r="C31" s="131">
        <f>'พื้นและกระเบื้อง'!A40</f>
        <v/>
      </c>
      <c r="D31" s="141">
        <f>'พื้นและกระเบื้อง'!B40</f>
        <v/>
      </c>
      <c r="E31" s="131">
        <f>'พื้นและกระเบื้อง'!C40</f>
        <v/>
      </c>
      <c r="F31" s="142" t="n">
        <v>250</v>
      </c>
      <c r="G31" s="132">
        <f>IF(OR(D31="",F31=""),0,D31*F31)</f>
        <v/>
      </c>
      <c r="H31" s="143">
        <f>IF('พื้นและกระเบื้อง'!D40="","",'พื้นและกระเบื้อง'!D40)</f>
        <v/>
      </c>
    </row>
    <row r="32">
      <c r="A32" s="131" t="n">
        <v>11</v>
      </c>
      <c r="B32" s="131" t="inlineStr">
        <is>
          <t>พื้นและกระเบื้อง</t>
        </is>
      </c>
      <c r="C32" s="131">
        <f>'พื้นและกระเบื้อง'!A41</f>
        <v/>
      </c>
      <c r="D32" s="141">
        <f>'พื้นและกระเบื้อง'!B41</f>
        <v/>
      </c>
      <c r="E32" s="131">
        <f>'พื้นและกระเบื้อง'!C41</f>
        <v/>
      </c>
      <c r="F32" s="142" t="n">
        <v>161</v>
      </c>
      <c r="G32" s="132">
        <f>IF(OR(D32="",F32=""),0,D32*F32)</f>
        <v/>
      </c>
      <c r="H32" s="143">
        <f>IF('พื้นและกระเบื้อง'!D41="","",'พื้นและกระเบื้อง'!D41)</f>
        <v/>
      </c>
    </row>
    <row r="33">
      <c r="A33" s="131" t="n">
        <v>12</v>
      </c>
      <c r="B33" s="131" t="inlineStr">
        <is>
          <t>พื้นและกระเบื้อง</t>
        </is>
      </c>
      <c r="C33" s="131">
        <f>'พื้นและกระเบื้อง'!A42</f>
        <v/>
      </c>
      <c r="D33" s="141">
        <f>'พื้นและกระเบื้อง'!B42</f>
        <v/>
      </c>
      <c r="E33" s="131">
        <f>'พื้นและกระเบื้อง'!C42</f>
        <v/>
      </c>
      <c r="F33" s="142" t="n">
        <v>220</v>
      </c>
      <c r="G33" s="132">
        <f>IF(OR(D33="",F33=""),0,D33*F33)</f>
        <v/>
      </c>
      <c r="H33" s="143">
        <f>IF('พื้นและกระเบื้อง'!D42="","",'พื้นและกระเบื้อง'!D42)</f>
        <v/>
      </c>
    </row>
    <row r="34">
      <c r="A34" s="131" t="n">
        <v>13</v>
      </c>
      <c r="B34" s="131" t="inlineStr">
        <is>
          <t>พื้นและกระเบื้อง</t>
        </is>
      </c>
      <c r="C34" s="131">
        <f>'พื้นและกระเบื้อง'!A43</f>
        <v/>
      </c>
      <c r="D34" s="141">
        <f>'พื้นและกระเบื้อง'!B43</f>
        <v/>
      </c>
      <c r="E34" s="131">
        <f>'พื้นและกระเบื้อง'!C43</f>
        <v/>
      </c>
      <c r="F34" s="142" t="n"/>
      <c r="G34" s="132">
        <f>IF(OR(D34="",F34=""),0,D34*F34)</f>
        <v/>
      </c>
      <c r="H34" s="143">
        <f>IF('พื้นและกระเบื้อง'!D43="","",'พื้นและกระเบื้อง'!D43)</f>
        <v/>
      </c>
    </row>
    <row r="35">
      <c r="A35" s="131" t="n">
        <v>14</v>
      </c>
      <c r="B35" s="131" t="inlineStr">
        <is>
          <t>หลังคา</t>
        </is>
      </c>
      <c r="C35" s="131">
        <f>'หลังคา'!A17</f>
        <v/>
      </c>
      <c r="D35" s="141">
        <f>'หลังคา'!B17</f>
        <v/>
      </c>
      <c r="E35" s="131">
        <f>'หลังคา'!C17</f>
        <v/>
      </c>
      <c r="F35" s="142" t="n">
        <v>106000</v>
      </c>
      <c r="G35" s="132">
        <f>IF(OR(D35="",F35=""),0,D35*F35)</f>
        <v/>
      </c>
      <c r="H35" s="143">
        <f>IF('หลังคา'!D17="","",'หลังคา'!D17)</f>
        <v/>
      </c>
    </row>
    <row r="36">
      <c r="A36" s="131" t="n">
        <v>15</v>
      </c>
      <c r="B36" s="131" t="inlineStr">
        <is>
          <t>หลังคา</t>
        </is>
      </c>
      <c r="C36" s="131">
        <f>'หลังคา'!A18</f>
        <v/>
      </c>
      <c r="D36" s="141">
        <f>'หลังคา'!B18</f>
        <v/>
      </c>
      <c r="E36" s="131">
        <f>'หลังคา'!C18</f>
        <v/>
      </c>
      <c r="F36" s="142" t="n">
        <v>2</v>
      </c>
      <c r="G36" s="132">
        <f>IF(OR(D36="",F36=""),0,D36*F36)</f>
        <v/>
      </c>
      <c r="H36" s="143">
        <f>IF('หลังคา'!D18="","",'หลังคา'!D18)</f>
        <v/>
      </c>
    </row>
    <row r="37">
      <c r="A37" s="131" t="n">
        <v>16</v>
      </c>
      <c r="B37" s="131" t="inlineStr">
        <is>
          <t>หลังคา</t>
        </is>
      </c>
      <c r="C37" s="131">
        <f>'หลังคา'!A19</f>
        <v/>
      </c>
      <c r="D37" s="144" t="n"/>
      <c r="E37" s="131">
        <f>'หลังคา'!C19</f>
        <v/>
      </c>
      <c r="F37" s="142" t="n"/>
      <c r="G37" s="132">
        <f>IF(OR(D37="",F37=""),0,D37*F37)</f>
        <v/>
      </c>
      <c r="H37" s="143">
        <f>IF('หลังคา'!D19="","",'หลังคา'!D19)</f>
        <v/>
      </c>
    </row>
    <row r="38">
      <c r="A38" s="131" t="n">
        <v>17</v>
      </c>
      <c r="B38" s="131" t="inlineStr">
        <is>
          <t>หลังคา</t>
        </is>
      </c>
      <c r="C38" s="131">
        <f>'หลังคา'!A20</f>
        <v/>
      </c>
      <c r="D38" s="144" t="n"/>
      <c r="E38" s="131">
        <f>'หลังคา'!C20</f>
        <v/>
      </c>
      <c r="F38" s="142" t="n"/>
      <c r="G38" s="132">
        <f>IF(OR(D38="",F38=""),0,D38*F38)</f>
        <v/>
      </c>
      <c r="H38" s="143">
        <f>IF('หลังคา'!D20="","",'หลังคา'!D20)</f>
        <v/>
      </c>
    </row>
    <row r="39">
      <c r="A39" s="131" t="n">
        <v>18</v>
      </c>
      <c r="B39" s="131" t="inlineStr">
        <is>
          <t>ประตู-หน้าต่าง</t>
        </is>
      </c>
      <c r="C39" s="131">
        <f>'ประตู-หน้าต่าง'!A41</f>
        <v/>
      </c>
      <c r="D39" s="141">
        <f>'ประตู-หน้าต่าง'!B41</f>
        <v/>
      </c>
      <c r="E39" s="131">
        <f>'ประตู-หน้าต่าง'!C41</f>
        <v/>
      </c>
      <c r="F39" s="142" t="n">
        <v>2890</v>
      </c>
      <c r="G39" s="132">
        <f>IF(OR(D39="",F39=""),0,D39*F39)</f>
        <v/>
      </c>
      <c r="H39" s="143">
        <f>IF('ประตู-หน้าต่าง'!D41="","",'ประตู-หน้าต่าง'!D41)</f>
        <v/>
      </c>
    </row>
    <row r="40">
      <c r="A40" s="131" t="n">
        <v>19</v>
      </c>
      <c r="B40" s="131" t="inlineStr">
        <is>
          <t>ประตู-หน้าต่าง</t>
        </is>
      </c>
      <c r="C40" s="131">
        <f>'ประตู-หน้าต่าง'!A42</f>
        <v/>
      </c>
      <c r="D40" s="141">
        <f>'ประตู-หน้าต่าง'!B42</f>
        <v/>
      </c>
      <c r="E40" s="131">
        <f>'ประตู-หน้าต่าง'!C42</f>
        <v/>
      </c>
      <c r="F40" s="142" t="n">
        <v>550</v>
      </c>
      <c r="G40" s="132">
        <f>IF(OR(D40="",F40=""),0,D40*F40)</f>
        <v/>
      </c>
      <c r="H40" s="143">
        <f>IF('ประตู-หน้าต่าง'!D42="","",'ประตู-หน้าต่าง'!D42)</f>
        <v/>
      </c>
    </row>
    <row r="41">
      <c r="A41" s="131" t="n">
        <v>20</v>
      </c>
      <c r="B41" s="131" t="inlineStr">
        <is>
          <t>ประตู-หน้าต่าง</t>
        </is>
      </c>
      <c r="C41" s="131">
        <f>'ประตู-หน้าต่าง'!A43</f>
        <v/>
      </c>
      <c r="D41" s="141">
        <f>'ประตู-หน้าต่าง'!B43</f>
        <v/>
      </c>
      <c r="E41" s="131">
        <f>'ประตู-หน้าต่าง'!C43</f>
        <v/>
      </c>
      <c r="F41" s="142" t="n">
        <v>2750</v>
      </c>
      <c r="G41" s="132">
        <f>IF(OR(D41="",F41=""),0,D41*F41)</f>
        <v/>
      </c>
      <c r="H41" s="143">
        <f>IF('ประตู-หน้าต่าง'!D43="","",'ประตู-หน้าต่าง'!D43)</f>
        <v/>
      </c>
    </row>
    <row r="42">
      <c r="A42" s="131" t="n">
        <v>21</v>
      </c>
      <c r="B42" s="131" t="inlineStr">
        <is>
          <t>ประตู-หน้าต่าง</t>
        </is>
      </c>
      <c r="C42" s="131">
        <f>'ประตู-หน้าต่าง'!A44</f>
        <v/>
      </c>
      <c r="D42" s="141">
        <f>'ประตู-หน้าต่าง'!B44</f>
        <v/>
      </c>
      <c r="E42" s="131">
        <f>'ประตู-หน้าต่าง'!C44</f>
        <v/>
      </c>
      <c r="F42" s="142" t="n">
        <v>3300</v>
      </c>
      <c r="G42" s="132">
        <f>IF(OR(D42="",F42=""),0,D42*F42)</f>
        <v/>
      </c>
      <c r="H42" s="143">
        <f>IF('ประตู-หน้าต่าง'!D44="","",'ประตู-หน้าต่าง'!D44)</f>
        <v/>
      </c>
    </row>
    <row r="43">
      <c r="A43" s="131" t="n">
        <v>22</v>
      </c>
      <c r="B43" s="131" t="inlineStr">
        <is>
          <t>ประตู-หน้าต่าง</t>
        </is>
      </c>
      <c r="C43" s="131">
        <f>'ประตู-หน้าต่าง'!A45</f>
        <v/>
      </c>
      <c r="D43" s="141">
        <f>'ประตู-หน้าต่าง'!B45</f>
        <v/>
      </c>
      <c r="E43" s="131">
        <f>'ประตู-หน้าต่าง'!C45</f>
        <v/>
      </c>
      <c r="F43" s="142">
        <f>850+300</f>
        <v/>
      </c>
      <c r="G43" s="132">
        <f>IF(OR(D43="",F43=""),0,D43*F43)</f>
        <v/>
      </c>
      <c r="H43" s="143">
        <f>IF('ประตู-หน้าต่าง'!D45="","",'ประตู-หน้าต่าง'!D45)</f>
        <v/>
      </c>
    </row>
    <row r="44">
      <c r="A44" s="131" t="n">
        <v>23</v>
      </c>
      <c r="B44" s="131" t="inlineStr">
        <is>
          <t>Sheet1</t>
        </is>
      </c>
      <c r="C44" s="131">
        <f>'Sheet1'!A24</f>
        <v/>
      </c>
      <c r="D44" s="141">
        <f>'Sheet1'!B24</f>
        <v/>
      </c>
      <c r="E44" s="131">
        <f>'Sheet1'!C24</f>
        <v/>
      </c>
      <c r="F44" s="142">
        <f>IF(Sheet1!M2="","",Sheet1!M2)</f>
        <v/>
      </c>
      <c r="G44" s="132">
        <f>IF(OR(D44="",F44=""),0,D44*F44)</f>
        <v/>
      </c>
      <c r="H44" s="143">
        <f>IF('Sheet1'!D24="","",'Sheet1'!D24)</f>
        <v/>
      </c>
    </row>
    <row r="45">
      <c r="A45" s="131" t="n">
        <v>24</v>
      </c>
      <c r="B45" s="131" t="inlineStr">
        <is>
          <t>Sheet1</t>
        </is>
      </c>
      <c r="C45" s="131">
        <f>'Sheet1'!A25</f>
        <v/>
      </c>
      <c r="D45" s="141">
        <f>'Sheet1'!B25</f>
        <v/>
      </c>
      <c r="E45" s="131">
        <f>'Sheet1'!C25</f>
        <v/>
      </c>
      <c r="F45" s="142">
        <f>IF(Sheet1!M3="","",Sheet1!M3)</f>
        <v/>
      </c>
      <c r="G45" s="132">
        <f>IF(OR(D45="",F45=""),0,D45*F45)</f>
        <v/>
      </c>
      <c r="H45" s="143">
        <f>IF('Sheet1'!D25="","",'Sheet1'!D25)</f>
        <v/>
      </c>
    </row>
    <row r="46">
      <c r="A46" s="131" t="n">
        <v>25</v>
      </c>
      <c r="B46" s="131" t="inlineStr">
        <is>
          <t>Sheet1</t>
        </is>
      </c>
      <c r="C46" s="131">
        <f>'Sheet1'!A26</f>
        <v/>
      </c>
      <c r="D46" s="141">
        <f>'Sheet1'!B26</f>
        <v/>
      </c>
      <c r="E46" s="131">
        <f>'Sheet1'!C26</f>
        <v/>
      </c>
      <c r="F46" s="142">
        <f>IF(Sheet1!M4="","",Sheet1!M4)</f>
        <v/>
      </c>
      <c r="G46" s="132">
        <f>IF(OR(D46="",F46=""),0,D46*F46)</f>
        <v/>
      </c>
      <c r="H46" s="143">
        <f>IF('Sheet1'!D26="","",'Sheet1'!D26)</f>
        <v/>
      </c>
    </row>
    <row r="47">
      <c r="A47" s="131" t="n">
        <v>26</v>
      </c>
      <c r="B47" s="131" t="inlineStr">
        <is>
          <t>Sheet1</t>
        </is>
      </c>
      <c r="C47" s="131">
        <f>'Sheet1'!A27</f>
        <v/>
      </c>
      <c r="D47" s="141">
        <f>'Sheet1'!B27</f>
        <v/>
      </c>
      <c r="E47" s="131">
        <f>'Sheet1'!C27</f>
        <v/>
      </c>
      <c r="F47" s="142">
        <f>IF(Sheet1!M5="","",Sheet1!M5)</f>
        <v/>
      </c>
      <c r="G47" s="132">
        <f>IF(OR(D47="",F47=""),0,D47*F47)</f>
        <v/>
      </c>
      <c r="H47" s="143">
        <f>IF('Sheet1'!D27="","",'Sheet1'!D27)</f>
        <v/>
      </c>
    </row>
    <row r="48">
      <c r="A48" s="131" t="n">
        <v>27</v>
      </c>
      <c r="B48" s="131" t="inlineStr">
        <is>
          <t>Sheet1</t>
        </is>
      </c>
      <c r="C48" s="131">
        <f>'Sheet1'!A28</f>
        <v/>
      </c>
      <c r="D48" s="141">
        <f>'Sheet1'!B28</f>
        <v/>
      </c>
      <c r="E48" s="131">
        <f>'Sheet1'!C28</f>
        <v/>
      </c>
      <c r="F48" s="142">
        <f>IF(Sheet1!M6="","",Sheet1!M6)</f>
        <v/>
      </c>
      <c r="G48" s="132">
        <f>IF(OR(D48="",F48=""),0,D48*F48)</f>
        <v/>
      </c>
      <c r="H48" s="143">
        <f>IF('Sheet1'!D28="","",'Sheet1'!D28)</f>
        <v/>
      </c>
    </row>
    <row r="49">
      <c r="A49" s="131" t="n">
        <v>28</v>
      </c>
      <c r="B49" s="131" t="inlineStr">
        <is>
          <t>Sheet1</t>
        </is>
      </c>
      <c r="C49" s="131">
        <f>'Sheet1'!A29</f>
        <v/>
      </c>
      <c r="D49" s="141">
        <f>'Sheet1'!B29</f>
        <v/>
      </c>
      <c r="E49" s="131">
        <f>'Sheet1'!C29</f>
        <v/>
      </c>
      <c r="F49" s="142">
        <f>IF(Sheet1!M7="","",Sheet1!M7)</f>
        <v/>
      </c>
      <c r="G49" s="132">
        <f>IF(OR(D49="",F49=""),0,D49*F49)</f>
        <v/>
      </c>
      <c r="H49" s="143">
        <f>IF('Sheet1'!D29="","",'Sheet1'!D29)</f>
        <v/>
      </c>
    </row>
    <row r="50">
      <c r="A50" s="131" t="n">
        <v>29</v>
      </c>
      <c r="B50" s="131" t="inlineStr">
        <is>
          <t>เสาและคอนกรีต</t>
        </is>
      </c>
      <c r="C50" s="131">
        <f>'เสาและคอนกรีต'!A14</f>
        <v/>
      </c>
      <c r="D50" s="141">
        <f>'เสาและคอนกรีต'!B14</f>
        <v/>
      </c>
      <c r="E50" s="131">
        <f>'เสาและคอนกรีต'!C14</f>
        <v/>
      </c>
      <c r="F50" s="142" t="n"/>
      <c r="G50" s="132">
        <f>IF(OR(D50="",F50=""),0,D50*F50)</f>
        <v/>
      </c>
      <c r="H50" s="143">
        <f>IF('เสาและคอนกรีต'!D14="","",'เสาและคอนกรีต'!D14)</f>
        <v/>
      </c>
    </row>
    <row r="51">
      <c r="A51" s="131" t="n">
        <v>30</v>
      </c>
      <c r="B51" s="131" t="inlineStr">
        <is>
          <t>เสาและคอนกรีต</t>
        </is>
      </c>
      <c r="C51" s="131">
        <f>'เสาและคอนกรีต'!A15</f>
        <v/>
      </c>
      <c r="D51" s="144" t="n"/>
      <c r="E51" s="131">
        <f>'เสาและคอนกรีต'!C15</f>
        <v/>
      </c>
      <c r="F51" s="142" t="n"/>
      <c r="G51" s="132">
        <f>IF(OR(D51="",F51=""),0,D51*F51)</f>
        <v/>
      </c>
      <c r="H51" s="143">
        <f>IF('เสาและคอนกรีต'!D15="","",'เสาและคอนกรีต'!D15)</f>
        <v/>
      </c>
    </row>
    <row r="52">
      <c r="A52" s="131" t="n">
        <v>31</v>
      </c>
      <c r="B52" s="131" t="inlineStr">
        <is>
          <t>เสาและคอนกรีต</t>
        </is>
      </c>
      <c r="C52" s="131">
        <f>'เสาและคอนกรีต'!A16</f>
        <v/>
      </c>
      <c r="D52" s="144" t="n"/>
      <c r="E52" s="131">
        <f>'เสาและคอนกรีต'!C16</f>
        <v/>
      </c>
      <c r="F52" s="142" t="n"/>
      <c r="G52" s="132">
        <f>IF(OR(D52="",F52=""),0,D52*F52)</f>
        <v/>
      </c>
      <c r="H52" s="143">
        <f>IF('เสาและคอนกรีต'!D16="","",'เสาและคอนกรีต'!D16)</f>
        <v/>
      </c>
    </row>
    <row r="53">
      <c r="A53" s="131" t="n">
        <v>32</v>
      </c>
      <c r="B53" s="131" t="inlineStr">
        <is>
          <t>สีทา</t>
        </is>
      </c>
      <c r="C53" s="131">
        <f>'สีทา'!A29</f>
        <v/>
      </c>
      <c r="D53" s="141">
        <f>'สีทา'!B29</f>
        <v/>
      </c>
      <c r="E53" s="131">
        <f>'สีทา'!C29</f>
        <v/>
      </c>
      <c r="F53" s="142" t="n"/>
      <c r="G53" s="132">
        <f>IF(OR(D53="",F53=""),0,D53*F53)</f>
        <v/>
      </c>
      <c r="H53" s="143">
        <f>IF('สีทา'!D29="","",'สีทา'!D29)</f>
        <v/>
      </c>
    </row>
    <row r="54">
      <c r="A54" s="131" t="n">
        <v>33</v>
      </c>
      <c r="B54" s="131" t="inlineStr">
        <is>
          <t>สีทา</t>
        </is>
      </c>
      <c r="C54" s="131">
        <f>'สีทา'!A30</f>
        <v/>
      </c>
      <c r="D54" s="141">
        <f>'สีทา'!B30</f>
        <v/>
      </c>
      <c r="E54" s="131">
        <f>'สีทา'!C30</f>
        <v/>
      </c>
      <c r="F54" s="142" t="n"/>
      <c r="G54" s="132">
        <f>IF(OR(D54="",F54=""),0,D54*F54)</f>
        <v/>
      </c>
      <c r="H54" s="143">
        <f>IF('สีทา'!D30="","",'สีทา'!D30)</f>
        <v/>
      </c>
    </row>
    <row r="55">
      <c r="A55" s="131" t="n">
        <v>34</v>
      </c>
      <c r="B55" s="131" t="inlineStr">
        <is>
          <t>สีทา</t>
        </is>
      </c>
      <c r="C55" s="131">
        <f>'สีทา'!A31</f>
        <v/>
      </c>
      <c r="D55" s="141">
        <f>'สีทา'!B31</f>
        <v/>
      </c>
      <c r="E55" s="131">
        <f>'สีทา'!C31</f>
        <v/>
      </c>
      <c r="F55" s="142" t="n"/>
      <c r="G55" s="132">
        <f>IF(OR(D55="",F55=""),0,D55*F55)</f>
        <v/>
      </c>
      <c r="H55" s="143">
        <f>IF('สีทา'!D31="","",'สีทา'!D31)</f>
        <v/>
      </c>
    </row>
    <row r="56">
      <c r="A56" s="131" t="n">
        <v>35</v>
      </c>
      <c r="B56" s="131" t="inlineStr">
        <is>
          <t>สีทา</t>
        </is>
      </c>
      <c r="C56" s="131">
        <f>'สีทา'!A32</f>
        <v/>
      </c>
      <c r="D56" s="141">
        <f>'สีทา'!B32</f>
        <v/>
      </c>
      <c r="E56" s="131">
        <f>'สีทา'!C32</f>
        <v/>
      </c>
      <c r="F56" s="142" t="n"/>
      <c r="G56" s="132">
        <f>IF(OR(D56="",F56=""),0,D56*F56)</f>
        <v/>
      </c>
      <c r="H56" s="143">
        <f>IF('สีทา'!D32="","",'สีทา'!D32)</f>
        <v/>
      </c>
    </row>
    <row r="57">
      <c r="A57" s="131" t="n">
        <v>36</v>
      </c>
      <c r="B57" s="131" t="inlineStr">
        <is>
          <t>สีทา</t>
        </is>
      </c>
      <c r="C57" s="131">
        <f>'สีทา'!A33</f>
        <v/>
      </c>
      <c r="D57" s="144" t="n"/>
      <c r="E57" s="131">
        <f>'สีทา'!C33</f>
        <v/>
      </c>
      <c r="F57" s="142" t="n"/>
      <c r="G57" s="132">
        <f>IF(OR(D57="",F57=""),0,D57*F57)</f>
        <v/>
      </c>
      <c r="H57" s="143">
        <f>IF('สีทา'!D33="","",'สีทา'!D33)</f>
        <v/>
      </c>
    </row>
    <row r="58">
      <c r="A58" s="131" t="n">
        <v>37</v>
      </c>
      <c r="B58" s="131" t="inlineStr">
        <is>
          <t>ไฟฟ้า</t>
        </is>
      </c>
      <c r="C58" s="131">
        <f>'ไฟฟ้า'!A29</f>
        <v/>
      </c>
      <c r="D58" s="141">
        <f>'ไฟฟ้า'!B29</f>
        <v/>
      </c>
      <c r="E58" s="131">
        <f>'ไฟฟ้า'!C29</f>
        <v/>
      </c>
      <c r="F58" s="142">
        <f>99+17+3*(296-17)/D58</f>
        <v/>
      </c>
      <c r="G58" s="132">
        <f>IF(OR(D58="",F58=""),0,D58*F58)</f>
        <v/>
      </c>
      <c r="H58" s="143">
        <f>IF('ไฟฟ้า'!D29="","",'ไฟฟ้า'!D29)</f>
        <v/>
      </c>
    </row>
    <row r="59">
      <c r="A59" s="131" t="n">
        <v>38</v>
      </c>
      <c r="B59" s="131" t="inlineStr">
        <is>
          <t>ไฟฟ้า</t>
        </is>
      </c>
      <c r="C59" s="131">
        <f>'ไฟฟ้า'!A30</f>
        <v/>
      </c>
      <c r="D59" s="141">
        <f>'ไฟฟ้า'!B30</f>
        <v/>
      </c>
      <c r="E59" s="131">
        <f>'ไฟฟ้า'!C30</f>
        <v/>
      </c>
      <c r="F59" s="142">
        <f>2*(99+17)</f>
        <v/>
      </c>
      <c r="G59" s="132">
        <f>IF(OR(D59="",F59=""),0,D59*F59)</f>
        <v/>
      </c>
      <c r="H59" s="143">
        <f>IF('ไฟฟ้า'!D30="","",'ไฟฟ้า'!D30)</f>
        <v/>
      </c>
    </row>
    <row r="60">
      <c r="A60" s="131" t="n">
        <v>39</v>
      </c>
      <c r="B60" s="131" t="inlineStr">
        <is>
          <t>ไฟฟ้า</t>
        </is>
      </c>
      <c r="C60" s="131">
        <f>'ไฟฟ้า'!A31</f>
        <v/>
      </c>
      <c r="D60" s="141">
        <f>'ไฟฟ้า'!B31</f>
        <v/>
      </c>
      <c r="E60" s="131">
        <f>'ไฟฟ้า'!C31</f>
        <v/>
      </c>
      <c r="F60" s="142">
        <f>99+296</f>
        <v/>
      </c>
      <c r="G60" s="132">
        <f>IF(OR(D60="",F60=""),0,D60*F60)</f>
        <v/>
      </c>
      <c r="H60" s="143">
        <f>IF('ไฟฟ้า'!D31="","",'ไฟฟ้า'!D31)</f>
        <v/>
      </c>
    </row>
    <row r="61">
      <c r="A61" s="131" t="n">
        <v>40</v>
      </c>
      <c r="B61" s="131" t="inlineStr">
        <is>
          <t>ไฟฟ้า</t>
        </is>
      </c>
      <c r="C61" s="131">
        <f>'ไฟฟ้า'!A32</f>
        <v/>
      </c>
      <c r="D61" s="141">
        <f>'ไฟฟ้า'!B32</f>
        <v/>
      </c>
      <c r="E61" s="131">
        <f>'ไฟฟ้า'!C32</f>
        <v/>
      </c>
      <c r="F61" s="142">
        <f>3*43+17</f>
        <v/>
      </c>
      <c r="G61" s="132">
        <f>IF(OR(D61="",F61=""),0,D61*F61)</f>
        <v/>
      </c>
      <c r="H61" s="143">
        <f>IF('ไฟฟ้า'!D32="","",'ไฟฟ้า'!D32)</f>
        <v/>
      </c>
    </row>
    <row r="62">
      <c r="A62" s="131" t="n">
        <v>41</v>
      </c>
      <c r="B62" s="131" t="inlineStr">
        <is>
          <t>ไฟฟ้า</t>
        </is>
      </c>
      <c r="C62" s="131">
        <f>'ไฟฟ้า'!A33</f>
        <v/>
      </c>
      <c r="D62" s="141">
        <f>'ไฟฟ้า'!B33</f>
        <v/>
      </c>
      <c r="E62" s="131">
        <f>'ไฟฟ้า'!C33</f>
        <v/>
      </c>
      <c r="F62" s="142">
        <f>2*43+17</f>
        <v/>
      </c>
      <c r="G62" s="132">
        <f>IF(OR(D62="",F62=""),0,D62*F62)</f>
        <v/>
      </c>
      <c r="H62" s="143">
        <f>IF('ไฟฟ้า'!D33="","",'ไฟฟ้า'!D33)</f>
        <v/>
      </c>
    </row>
    <row r="63">
      <c r="A63" s="131" t="n">
        <v>42</v>
      </c>
      <c r="B63" s="131" t="inlineStr">
        <is>
          <t>ไฟฟ้า</t>
        </is>
      </c>
      <c r="C63" s="131">
        <f>'ไฟฟ้า'!A34</f>
        <v/>
      </c>
      <c r="D63" s="141">
        <f>'ไฟฟ้า'!B34</f>
        <v/>
      </c>
      <c r="E63" s="131">
        <f>'ไฟฟ้า'!C34</f>
        <v/>
      </c>
      <c r="F63" s="142" t="n">
        <v>41</v>
      </c>
      <c r="G63" s="132">
        <f>IF(OR(D63="",F63=""),0,D63*F63)</f>
        <v/>
      </c>
      <c r="H63" s="143">
        <f>IF('ไฟฟ้า'!D34="","",'ไฟฟ้า'!D34)</f>
        <v/>
      </c>
    </row>
    <row r="64">
      <c r="A64" s="131" t="n">
        <v>43</v>
      </c>
      <c r="B64" s="131" t="inlineStr">
        <is>
          <t>ไฟฟ้า</t>
        </is>
      </c>
      <c r="C64" s="131">
        <f>'ไฟฟ้า'!A35</f>
        <v/>
      </c>
      <c r="D64" s="141">
        <f>'ไฟฟ้า'!B35</f>
        <v/>
      </c>
      <c r="E64" s="131">
        <f>'ไฟฟ้า'!C35</f>
        <v/>
      </c>
      <c r="F64" s="142">
        <f>175+20</f>
        <v/>
      </c>
      <c r="G64" s="132">
        <f>IF(OR(D64="",F64=""),0,D64*F64)</f>
        <v/>
      </c>
      <c r="H64" s="143">
        <f>IF('ไฟฟ้า'!D35="","",'ไฟฟ้า'!D35)</f>
        <v/>
      </c>
    </row>
    <row r="65">
      <c r="A65" s="131" t="n">
        <v>44</v>
      </c>
      <c r="B65" s="131" t="inlineStr">
        <is>
          <t>ไฟฟ้า</t>
        </is>
      </c>
      <c r="C65" s="131">
        <f>'ไฟฟ้า'!A36</f>
        <v/>
      </c>
      <c r="D65" s="141">
        <f>'ไฟฟ้า'!B36</f>
        <v/>
      </c>
      <c r="E65" s="131">
        <f>'ไฟฟ้า'!C36</f>
        <v/>
      </c>
      <c r="F65" s="142" t="n">
        <v>199</v>
      </c>
      <c r="G65" s="132">
        <f>IF(OR(D65="",F65=""),0,D65*F65)</f>
        <v/>
      </c>
      <c r="H65" s="143">
        <f>IF('ไฟฟ้า'!D36="","",'ไฟฟ้า'!D36)</f>
        <v/>
      </c>
    </row>
    <row r="66">
      <c r="A66" s="131" t="n">
        <v>45</v>
      </c>
      <c r="B66" s="131" t="inlineStr">
        <is>
          <t>ไฟฟ้า</t>
        </is>
      </c>
      <c r="C66" s="131">
        <f>'ไฟฟ้า'!A37</f>
        <v/>
      </c>
      <c r="D66" s="141">
        <f>'ไฟฟ้า'!B37</f>
        <v/>
      </c>
      <c r="E66" s="131">
        <f>'ไฟฟ้า'!C37</f>
        <v/>
      </c>
      <c r="F66" s="142" t="n">
        <v>132</v>
      </c>
      <c r="G66" s="132">
        <f>IF(OR(D66="",F66=""),0,D66*F66)</f>
        <v/>
      </c>
      <c r="H66" s="143">
        <f>IF('ไฟฟ้า'!D37="","",'ไฟฟ้า'!D37)</f>
        <v/>
      </c>
    </row>
    <row r="67">
      <c r="A67" s="131" t="n">
        <v>46</v>
      </c>
      <c r="B67" s="131" t="inlineStr">
        <is>
          <t>ไฟฟ้า</t>
        </is>
      </c>
      <c r="C67" s="131">
        <f>'ไฟฟ้า'!A38</f>
        <v/>
      </c>
      <c r="D67" s="141">
        <f>'ไฟฟ้า'!B38</f>
        <v/>
      </c>
      <c r="E67" s="131">
        <f>'ไฟฟ้า'!C38</f>
        <v/>
      </c>
      <c r="F67" s="142">
        <f>399+119</f>
        <v/>
      </c>
      <c r="G67" s="132">
        <f>IF(OR(D67="",F67=""),0,D67*F67)</f>
        <v/>
      </c>
      <c r="H67" s="143">
        <f>IF('ไฟฟ้า'!D38="","",'ไฟฟ้า'!D38)</f>
        <v/>
      </c>
    </row>
    <row r="68">
      <c r="A68" s="131" t="n">
        <v>47</v>
      </c>
      <c r="B68" s="131" t="inlineStr">
        <is>
          <t>ไฟฟ้า</t>
        </is>
      </c>
      <c r="C68" s="131">
        <f>'ไฟฟ้า'!A39</f>
        <v/>
      </c>
      <c r="D68" s="141">
        <f>'ไฟฟ้า'!B39</f>
        <v/>
      </c>
      <c r="E68" s="131">
        <f>'ไฟฟ้า'!C39</f>
        <v/>
      </c>
      <c r="F68" s="142" t="n">
        <v>398</v>
      </c>
      <c r="G68" s="132">
        <f>IF(OR(D68="",F68=""),0,D68*F68)</f>
        <v/>
      </c>
      <c r="H68" s="143">
        <f>IF('ไฟฟ้า'!D39="","",'ไฟฟ้า'!D39)</f>
        <v/>
      </c>
    </row>
    <row r="69">
      <c r="A69" s="131" t="n">
        <v>48</v>
      </c>
      <c r="B69" s="131" t="inlineStr">
        <is>
          <t>ไฟฟ้า</t>
        </is>
      </c>
      <c r="C69" s="131">
        <f>'ไฟฟ้า'!A40</f>
        <v/>
      </c>
      <c r="D69" s="141">
        <f>'ไฟฟ้า'!B40</f>
        <v/>
      </c>
      <c r="E69" s="131">
        <f>'ไฟฟ้า'!C40</f>
        <v/>
      </c>
      <c r="F69" s="142" t="n">
        <v>108</v>
      </c>
      <c r="G69" s="132">
        <f>IF(OR(D69="",F69=""),0,D69*F69)</f>
        <v/>
      </c>
      <c r="H69" s="143">
        <f>IF('ไฟฟ้า'!D40="","",'ไฟฟ้า'!D40)</f>
        <v/>
      </c>
    </row>
    <row r="70">
      <c r="A70" s="131" t="n">
        <v>49</v>
      </c>
      <c r="B70" s="131" t="inlineStr">
        <is>
          <t>ไฟฟ้า</t>
        </is>
      </c>
      <c r="C70" s="131">
        <f>'ไฟฟ้า'!A41</f>
        <v/>
      </c>
      <c r="D70" s="141">
        <f>'ไฟฟ้า'!B41</f>
        <v/>
      </c>
      <c r="E70" s="131">
        <f>'ไฟฟ้า'!C41</f>
        <v/>
      </c>
      <c r="F70" s="142" t="n">
        <v>800</v>
      </c>
      <c r="G70" s="132">
        <f>IF(OR(D70="",F70=""),0,D70*F70)</f>
        <v/>
      </c>
      <c r="H70" s="143">
        <f>IF('ไฟฟ้า'!D41="","",'ไฟฟ้า'!D41)</f>
        <v/>
      </c>
    </row>
    <row r="71">
      <c r="A71" s="131" t="n">
        <v>50</v>
      </c>
      <c r="B71" s="131" t="inlineStr">
        <is>
          <t>ไฟฟ้า</t>
        </is>
      </c>
      <c r="C71" s="131">
        <f>'ไฟฟ้า'!A42</f>
        <v/>
      </c>
      <c r="D71" s="141">
        <f>'ไฟฟ้า'!B42</f>
        <v/>
      </c>
      <c r="E71" s="131">
        <f>'ไฟฟ้า'!C42</f>
        <v/>
      </c>
      <c r="F71" s="142" t="n">
        <v>1540</v>
      </c>
      <c r="G71" s="132">
        <f>IF(OR(D71="",F71=""),0,D71*F71)</f>
        <v/>
      </c>
      <c r="H71" s="143">
        <f>IF('ไฟฟ้า'!D42="","",'ไฟฟ้า'!D42)</f>
        <v/>
      </c>
    </row>
    <row r="72">
      <c r="A72" s="131" t="n">
        <v>51</v>
      </c>
      <c r="B72" s="131" t="inlineStr">
        <is>
          <t>ไฟฟ้า</t>
        </is>
      </c>
      <c r="C72" s="131">
        <f>'ไฟฟ้า'!A43</f>
        <v/>
      </c>
      <c r="D72" s="141">
        <f>'ไฟฟ้า'!B43</f>
        <v/>
      </c>
      <c r="E72" s="131">
        <f>'ไฟฟ้า'!C43</f>
        <v/>
      </c>
      <c r="F72" s="142" t="n">
        <v>1500</v>
      </c>
      <c r="G72" s="132">
        <f>IF(OR(D72="",F72=""),0,D72*F72)</f>
        <v/>
      </c>
      <c r="H72" s="143">
        <f>IF('ไฟฟ้า'!D43="","",'ไฟฟ้า'!D43)</f>
        <v/>
      </c>
    </row>
    <row r="73">
      <c r="A73" s="131" t="n">
        <v>52</v>
      </c>
      <c r="B73" s="131" t="inlineStr">
        <is>
          <t>ไฟฟ้า</t>
        </is>
      </c>
      <c r="C73" s="131">
        <f>'ไฟฟ้า'!A44</f>
        <v/>
      </c>
      <c r="D73" s="141">
        <f>'ไฟฟ้า'!B44</f>
        <v/>
      </c>
      <c r="E73" s="131">
        <f>'ไฟฟ้า'!C44</f>
        <v/>
      </c>
      <c r="F73" s="142" t="n">
        <v>0</v>
      </c>
      <c r="G73" s="132">
        <f>IF(OR(D73="",F73=""),0,D73*F73)</f>
        <v/>
      </c>
      <c r="H73" s="143">
        <f>IF('ไฟฟ้า'!D44="","",'ไฟฟ้า'!D44)</f>
        <v/>
      </c>
    </row>
    <row r="74">
      <c r="A74" s="131" t="n">
        <v>53</v>
      </c>
      <c r="B74" s="131" t="inlineStr">
        <is>
          <t>ไฟฟ้า</t>
        </is>
      </c>
      <c r="C74" s="131">
        <f>'ไฟฟ้า'!A45</f>
        <v/>
      </c>
      <c r="D74" s="141">
        <f>'ไฟฟ้า'!B45</f>
        <v/>
      </c>
      <c r="E74" s="131">
        <f>'ไฟฟ้า'!C45</f>
        <v/>
      </c>
      <c r="F74" s="142" t="n">
        <v>15</v>
      </c>
      <c r="G74" s="132">
        <f>IF(OR(D74="",F74=""),0,D74*F74)</f>
        <v/>
      </c>
      <c r="H74" s="143">
        <f>IF('ไฟฟ้า'!D45="","",'ไฟฟ้า'!D45)</f>
        <v/>
      </c>
    </row>
    <row r="75">
      <c r="A75" s="131" t="n">
        <v>54</v>
      </c>
      <c r="B75" s="131" t="inlineStr">
        <is>
          <t>ไฟฟ้า</t>
        </is>
      </c>
      <c r="C75" s="131">
        <f>'ไฟฟ้า'!A46</f>
        <v/>
      </c>
      <c r="D75" s="141">
        <f>'ไฟฟ้า'!B46</f>
        <v/>
      </c>
      <c r="E75" s="131">
        <f>'ไฟฟ้า'!C46</f>
        <v/>
      </c>
      <c r="F75" s="142" t="n">
        <v>0</v>
      </c>
      <c r="G75" s="132">
        <f>IF(OR(D75="",F75=""),0,D75*F75)</f>
        <v/>
      </c>
      <c r="H75" s="143">
        <f>IF('ไฟฟ้า'!D46="","",'ไฟฟ้า'!D46)</f>
        <v/>
      </c>
    </row>
    <row r="76">
      <c r="A76" s="131" t="n">
        <v>55</v>
      </c>
      <c r="B76" s="131" t="inlineStr">
        <is>
          <t>ไฟฟ้า</t>
        </is>
      </c>
      <c r="C76" s="131">
        <f>'ไฟฟ้า'!A47</f>
        <v/>
      </c>
      <c r="D76" s="141">
        <f>'ไฟฟ้า'!B47</f>
        <v/>
      </c>
      <c r="E76" s="131">
        <f>'ไฟฟ้า'!C47</f>
        <v/>
      </c>
      <c r="F76" s="142" t="n"/>
      <c r="G76" s="132">
        <f>IF(OR(D76="",F76=""),0,D76*F76)</f>
        <v/>
      </c>
      <c r="H76" s="143">
        <f>IF('ไฟฟ้า'!D47="","",'ไฟฟ้า'!D47)</f>
        <v/>
      </c>
    </row>
    <row r="77">
      <c r="A77" s="131" t="n">
        <v>56</v>
      </c>
      <c r="B77" s="131" t="inlineStr">
        <is>
          <t>ไฟฟ้า</t>
        </is>
      </c>
      <c r="C77" s="131">
        <f>'ไฟฟ้า'!A48</f>
        <v/>
      </c>
      <c r="D77" s="141">
        <f>'ไฟฟ้า'!B48</f>
        <v/>
      </c>
      <c r="E77" s="131">
        <f>'ไฟฟ้า'!C48</f>
        <v/>
      </c>
      <c r="F77" s="142" t="n"/>
      <c r="G77" s="132">
        <f>IF(OR(D77="",F77=""),0,D77*F77)</f>
        <v/>
      </c>
      <c r="H77" s="143">
        <f>IF('ไฟฟ้า'!D48="","",'ไฟฟ้า'!D48)</f>
        <v/>
      </c>
    </row>
    <row r="78">
      <c r="A78" s="131" t="n">
        <v>57</v>
      </c>
      <c r="B78" s="131" t="inlineStr">
        <is>
          <t>ไฟฟ้า</t>
        </is>
      </c>
      <c r="C78" s="131">
        <f>'ไฟฟ้า'!A49</f>
        <v/>
      </c>
      <c r="D78" s="144" t="n"/>
      <c r="E78" s="131">
        <f>'ไฟฟ้า'!C49</f>
        <v/>
      </c>
      <c r="F78" s="142" t="n"/>
      <c r="G78" s="132">
        <f>IF(OR(D78="",F78=""),0,D78*F78)</f>
        <v/>
      </c>
      <c r="H78" s="143">
        <f>IF('ไฟฟ้า'!D49="","",'ไฟฟ้า'!D49)</f>
        <v/>
      </c>
    </row>
    <row r="79">
      <c r="A79" s="131" t="n">
        <v>58</v>
      </c>
      <c r="B79" s="131" t="inlineStr">
        <is>
          <t>ไฟฟ้า</t>
        </is>
      </c>
      <c r="C79" s="131">
        <f>'ไฟฟ้า'!A50</f>
        <v/>
      </c>
      <c r="D79" s="141">
        <f>'ไฟฟ้า'!B50</f>
        <v/>
      </c>
      <c r="E79" s="131">
        <f>'ไฟฟ้า'!C50</f>
        <v/>
      </c>
      <c r="F79" s="142" t="n"/>
      <c r="G79" s="132">
        <f>IF(OR(D79="",F79=""),0,D79*F79)</f>
        <v/>
      </c>
      <c r="H79" s="143">
        <f>IF('ไฟฟ้า'!D50="","",'ไฟฟ้า'!D50)</f>
        <v/>
      </c>
    </row>
    <row r="80">
      <c r="A80" s="131" t="n">
        <v>59</v>
      </c>
      <c r="B80" s="131" t="inlineStr">
        <is>
          <t>ประปา-สุขาภิบาล</t>
        </is>
      </c>
      <c r="C80" s="131">
        <f>'ประปา-สุขาภิบาล'!A28</f>
        <v/>
      </c>
      <c r="D80" s="141">
        <f>'ประปา-สุขาภิบาล'!B28</f>
        <v/>
      </c>
      <c r="E80" s="131">
        <f>'ประปา-สุขาภิบาล'!C28</f>
        <v/>
      </c>
      <c r="F80" s="142" t="n">
        <v>80</v>
      </c>
      <c r="G80" s="132">
        <f>IF(OR(D80="",F80=""),0,D80*F80)</f>
        <v/>
      </c>
      <c r="H80" s="143">
        <f>IF('ประปา-สุขาภิบาล'!D28="","",'ประปา-สุขาภิบาล'!D28)</f>
        <v/>
      </c>
    </row>
    <row r="81">
      <c r="A81" s="131" t="n">
        <v>60</v>
      </c>
      <c r="B81" s="131" t="inlineStr">
        <is>
          <t>ประปา-สุขาภิบาล</t>
        </is>
      </c>
      <c r="C81" s="131">
        <f>'ประปา-สุขาภิบาล'!A29</f>
        <v/>
      </c>
      <c r="D81" s="141">
        <f>'ประปา-สุขาภิบาล'!B29</f>
        <v/>
      </c>
      <c r="E81" s="131">
        <f>'ประปา-สุขาภิบาล'!C29</f>
        <v/>
      </c>
      <c r="F81" s="142" t="n">
        <v>80</v>
      </c>
      <c r="G81" s="132">
        <f>IF(OR(D81="",F81=""),0,D81*F81)</f>
        <v/>
      </c>
      <c r="H81" s="143">
        <f>IF('ประปา-สุขาภิบาล'!D29="","",'ประปา-สุขาภิบาล'!D29)</f>
        <v/>
      </c>
    </row>
    <row r="82">
      <c r="A82" s="131" t="n">
        <v>61</v>
      </c>
      <c r="B82" s="131" t="inlineStr">
        <is>
          <t>ประปา-สุขาภิบาล</t>
        </is>
      </c>
      <c r="C82" s="131">
        <f>'ประปา-สุขาภิบาล'!A30</f>
        <v/>
      </c>
      <c r="D82" s="141">
        <f>'ประปา-สุขาภิบาล'!B30</f>
        <v/>
      </c>
      <c r="E82" s="131">
        <f>'ประปา-สุขาภิบาล'!C30</f>
        <v/>
      </c>
      <c r="F82" s="142" t="n">
        <v>158</v>
      </c>
      <c r="G82" s="132">
        <f>IF(OR(D82="",F82=""),0,D82*F82)</f>
        <v/>
      </c>
      <c r="H82" s="143">
        <f>IF('ประปา-สุขาภิบาล'!D30="","",'ประปา-สุขาภิบาล'!D30)</f>
        <v/>
      </c>
    </row>
    <row r="83">
      <c r="A83" s="131" t="n">
        <v>62</v>
      </c>
      <c r="B83" s="131" t="inlineStr">
        <is>
          <t>ประปา-สุขาภิบาล</t>
        </is>
      </c>
      <c r="C83" s="131">
        <f>'ประปา-สุขาภิบาล'!A31</f>
        <v/>
      </c>
      <c r="D83" s="141">
        <f>'ประปา-สุขาภิบาล'!B31</f>
        <v/>
      </c>
      <c r="E83" s="131">
        <f>'ประปา-สุขาภิบาล'!C31</f>
        <v/>
      </c>
      <c r="F83" s="142" t="n">
        <v>178</v>
      </c>
      <c r="G83" s="132">
        <f>IF(OR(D83="",F83=""),0,D83*F83)</f>
        <v/>
      </c>
      <c r="H83" s="143">
        <f>IF('ประปา-สุขาภิบาล'!D31="","",'ประปา-สุขาภิบาล'!D31)</f>
        <v/>
      </c>
    </row>
    <row r="84">
      <c r="A84" s="131" t="n">
        <v>63</v>
      </c>
      <c r="B84" s="131" t="inlineStr">
        <is>
          <t>ประปา-สุขาภิบาล</t>
        </is>
      </c>
      <c r="C84" s="131">
        <f>'ประปา-สุขาภิบาล'!A32</f>
        <v/>
      </c>
      <c r="D84" s="141">
        <f>'ประปา-สุขาภิบาล'!B32</f>
        <v/>
      </c>
      <c r="E84" s="131">
        <f>'ประปา-สุขาภิบาล'!C32</f>
        <v/>
      </c>
      <c r="F84" s="142" t="n">
        <v>283</v>
      </c>
      <c r="G84" s="132">
        <f>IF(OR(D84="",F84=""),0,D84*F84)</f>
        <v/>
      </c>
      <c r="H84" s="143">
        <f>IF('ประปา-สุขาภิบาล'!D32="","",'ประปา-สุขาภิบาล'!D32)</f>
        <v/>
      </c>
    </row>
    <row r="85">
      <c r="A85" s="131" t="n">
        <v>64</v>
      </c>
      <c r="B85" s="131" t="inlineStr">
        <is>
          <t>ประปา-สุขาภิบาล</t>
        </is>
      </c>
      <c r="C85" s="131">
        <f>'ประปา-สุขาภิบาล'!A33</f>
        <v/>
      </c>
      <c r="D85" s="141">
        <f>'ประปา-สุขาภิบาล'!B33</f>
        <v/>
      </c>
      <c r="E85" s="131">
        <f>'ประปา-สุขาภิบาล'!C33</f>
        <v/>
      </c>
      <c r="F85" s="142" t="n">
        <v>178</v>
      </c>
      <c r="G85" s="132">
        <f>IF(OR(D85="",F85=""),0,D85*F85)</f>
        <v/>
      </c>
      <c r="H85" s="143">
        <f>IF('ประปา-สุขาภิบาล'!D33="","",'ประปา-สุขาภิบาล'!D33)</f>
        <v/>
      </c>
    </row>
    <row r="86">
      <c r="A86" s="131" t="n">
        <v>65</v>
      </c>
      <c r="B86" s="131" t="inlineStr">
        <is>
          <t>ประปา-สุขาภิบาล</t>
        </is>
      </c>
      <c r="C86" s="131">
        <f>'ประปา-สุขาภิบาล'!A34</f>
        <v/>
      </c>
      <c r="D86" s="141">
        <f>'ประปา-สุขาภิบาล'!B34</f>
        <v/>
      </c>
      <c r="E86" s="131">
        <f>'ประปา-สุขาภิบาล'!C34</f>
        <v/>
      </c>
      <c r="F86" s="142" t="n">
        <v>930</v>
      </c>
      <c r="G86" s="132">
        <f>IF(OR(D86="",F86=""),0,D86*F86)</f>
        <v/>
      </c>
      <c r="H86" s="143">
        <f>IF('ประปา-สุขาภิบาล'!D34="","",'ประปา-สุขาภิบาล'!D34)</f>
        <v/>
      </c>
    </row>
    <row r="87">
      <c r="A87" s="131" t="n">
        <v>66</v>
      </c>
      <c r="B87" s="131" t="inlineStr">
        <is>
          <t>ประปา-สุขาภิบาล</t>
        </is>
      </c>
      <c r="C87" s="131">
        <f>'ประปา-สุขาภิบาล'!A35</f>
        <v/>
      </c>
      <c r="D87" s="141">
        <f>'ประปา-สุขาภิบาล'!B35</f>
        <v/>
      </c>
      <c r="E87" s="131">
        <f>'ประปา-สุขาภิบาล'!C35</f>
        <v/>
      </c>
      <c r="F87" s="142" t="n">
        <v>3200</v>
      </c>
      <c r="G87" s="132">
        <f>IF(OR(D87="",F87=""),0,D87*F87)</f>
        <v/>
      </c>
      <c r="H87" s="143">
        <f>IF('ประปา-สุขาภิบาล'!D35="","",'ประปา-สุขาภิบาล'!D35)</f>
        <v/>
      </c>
    </row>
    <row r="88">
      <c r="A88" s="131" t="n">
        <v>67</v>
      </c>
      <c r="B88" s="131" t="inlineStr">
        <is>
          <t>ประปา-สุขาภิบาล</t>
        </is>
      </c>
      <c r="C88" s="131">
        <f>'ประปา-สุขาภิบาล'!A36</f>
        <v/>
      </c>
      <c r="D88" s="141">
        <f>'ประปา-สุขาภิบาล'!B36</f>
        <v/>
      </c>
      <c r="E88" s="131">
        <f>'ประปา-สุขาภิบาล'!C36</f>
        <v/>
      </c>
      <c r="F88" s="142" t="n">
        <v>9500</v>
      </c>
      <c r="G88" s="132">
        <f>IF(OR(D88="",F88=""),0,D88*F88)</f>
        <v/>
      </c>
      <c r="H88" s="143">
        <f>IF('ประปา-สุขาภิบาล'!D36="","",'ประปา-สุขาภิบาล'!D36)</f>
        <v/>
      </c>
    </row>
    <row r="89">
      <c r="A89" s="131" t="n">
        <v>68</v>
      </c>
      <c r="B89" s="131" t="inlineStr">
        <is>
          <t>ประปา-สุขาภิบาล</t>
        </is>
      </c>
      <c r="C89" s="131">
        <f>'ประปา-สุขาภิบาล'!A37</f>
        <v/>
      </c>
      <c r="D89" s="141">
        <f>'ประปา-สุขาภิบาล'!B37</f>
        <v/>
      </c>
      <c r="E89" s="131">
        <f>'ประปา-สุขาภิบาล'!C37</f>
        <v/>
      </c>
      <c r="F89" s="142" t="n">
        <v>3500</v>
      </c>
      <c r="G89" s="132">
        <f>IF(OR(D89="",F89=""),0,D89*F89)</f>
        <v/>
      </c>
      <c r="H89" s="143">
        <f>IF('ประปา-สุขาภิบาล'!D37="","",'ประปา-สุขาภิบาล'!D37)</f>
        <v/>
      </c>
    </row>
    <row r="90">
      <c r="A90" s="131" t="n">
        <v>69</v>
      </c>
      <c r="B90" s="131" t="inlineStr">
        <is>
          <t>ประปา-สุขาภิบาล</t>
        </is>
      </c>
      <c r="C90" s="131">
        <f>'ประปา-สุขาภิบาล'!A38</f>
        <v/>
      </c>
      <c r="D90" s="141">
        <f>'ประปา-สุขาภิบาล'!B38</f>
        <v/>
      </c>
      <c r="E90" s="131">
        <f>'ประปา-สุขาภิบาล'!C38</f>
        <v/>
      </c>
      <c r="F90" s="142" t="n">
        <v>4500</v>
      </c>
      <c r="G90" s="132">
        <f>IF(OR(D90="",F90=""),0,D90*F90)</f>
        <v/>
      </c>
      <c r="H90" s="143">
        <f>IF('ประปา-สุขาภิบาล'!D38="","",'ประปา-สุขาภิบาล'!D38)</f>
        <v/>
      </c>
    </row>
    <row r="91">
      <c r="A91" s="131" t="n">
        <v>70</v>
      </c>
      <c r="B91" s="131" t="inlineStr">
        <is>
          <t>ประปา-สุขาภิบาล</t>
        </is>
      </c>
      <c r="C91" s="131">
        <f>'ประปา-สุขาภิบาล'!A39</f>
        <v/>
      </c>
      <c r="D91" s="141">
        <f>'ประปา-สุขาภิบาล'!B39</f>
        <v/>
      </c>
      <c r="E91" s="131">
        <f>'ประปา-สุขาภิบาล'!C39</f>
        <v/>
      </c>
      <c r="F91" s="142" t="n"/>
      <c r="G91" s="132">
        <f>IF(OR(D91="",F91=""),0,D91*F91)</f>
        <v/>
      </c>
      <c r="H91" s="143">
        <f>IF('ประปา-สุขาภิบาล'!D39="","",'ประปา-สุขาภิบาล'!D39)</f>
        <v/>
      </c>
    </row>
    <row r="92">
      <c r="A92" s="131" t="n">
        <v>71</v>
      </c>
      <c r="B92" s="131" t="inlineStr">
        <is>
          <t>ประปา-สุขาภิบาล</t>
        </is>
      </c>
      <c r="C92" s="131">
        <f>'ประปา-สุขาภิบาล'!A40</f>
        <v/>
      </c>
      <c r="D92" s="141">
        <f>'ประปา-สุขาภิบาล'!B40</f>
        <v/>
      </c>
      <c r="E92" s="131">
        <f>'ประปา-สุขาภิบาล'!C40</f>
        <v/>
      </c>
      <c r="F92" s="142" t="n"/>
      <c r="G92" s="132">
        <f>IF(OR(D92="",F92=""),0,D92*F92)</f>
        <v/>
      </c>
      <c r="H92" s="143">
        <f>IF('ประปา-สุขาภิบาล'!D40="","",'ประปา-สุขาภิบาล'!D40)</f>
        <v/>
      </c>
    </row>
    <row r="93">
      <c r="A93" s="131" t="n">
        <v>72</v>
      </c>
      <c r="B93" s="131" t="inlineStr">
        <is>
          <t>ประปา-สุขาภิบาล</t>
        </is>
      </c>
      <c r="C93" s="131">
        <f>'ประปา-สุขาภิบาล'!A41</f>
        <v/>
      </c>
      <c r="D93" s="141">
        <f>'ประปา-สุขาภิบาล'!B41</f>
        <v/>
      </c>
      <c r="E93" s="131">
        <f>'ประปา-สุขาภิบาล'!C41</f>
        <v/>
      </c>
      <c r="F93" s="142" t="n"/>
      <c r="G93" s="132">
        <f>IF(OR(D93="",F93=""),0,D93*F93)</f>
        <v/>
      </c>
      <c r="H93" s="143">
        <f>IF('ประปา-สุขาภิบาล'!D41="","",'ประปา-สุขาภิบาล'!D41)</f>
        <v/>
      </c>
    </row>
    <row r="94">
      <c r="A94" s="131" t="n">
        <v>73</v>
      </c>
      <c r="B94" s="131" t="inlineStr">
        <is>
          <t>ประปา-สุขาภิบาล</t>
        </is>
      </c>
      <c r="C94" s="131">
        <f>'ประปา-สุขาภิบาล'!A42</f>
        <v/>
      </c>
      <c r="D94" s="141">
        <f>'ประปา-สุขาภิบาล'!B42</f>
        <v/>
      </c>
      <c r="E94" s="131">
        <f>'ประปา-สุขาภิบาล'!C42</f>
        <v/>
      </c>
      <c r="F94" s="142" t="n"/>
      <c r="G94" s="132">
        <f>IF(OR(D94="",F94=""),0,D94*F94)</f>
        <v/>
      </c>
      <c r="H94" s="143">
        <f>IF('ประปา-สุขาภิบาล'!D42="","",'ประปา-สุขาภิบาล'!D42)</f>
        <v/>
      </c>
    </row>
    <row r="95">
      <c r="A95" s="131" t="n">
        <v>74</v>
      </c>
      <c r="B95" s="131" t="inlineStr">
        <is>
          <t>ประปา-สุขาภิบาล</t>
        </is>
      </c>
      <c r="C95" s="131">
        <f>'ประปา-สุขาภิบาล'!A43</f>
        <v/>
      </c>
      <c r="D95" s="141">
        <f>'ประปา-สุขาภิบาล'!B43</f>
        <v/>
      </c>
      <c r="E95" s="131">
        <f>'ประปา-สุขาภิบาล'!C43</f>
        <v/>
      </c>
      <c r="F95" s="142" t="n"/>
      <c r="G95" s="132">
        <f>IF(OR(D95="",F95=""),0,D95*F95)</f>
        <v/>
      </c>
      <c r="H95" s="143">
        <f>IF('ประปา-สุขาภิบาล'!D43="","",'ประปา-สุขาภิบาล'!D43)</f>
        <v/>
      </c>
    </row>
    <row r="96">
      <c r="A96" s="131" t="n">
        <v>75</v>
      </c>
      <c r="B96" s="131" t="inlineStr">
        <is>
          <t>ประปา-สุขาภิบาล</t>
        </is>
      </c>
      <c r="C96" s="131">
        <f>'ประปา-สุขาภิบาล'!A44</f>
        <v/>
      </c>
      <c r="D96" s="144" t="n"/>
      <c r="E96" s="131">
        <f>'ประปา-สุขาภิบาล'!C44</f>
        <v/>
      </c>
      <c r="F96" s="142" t="n"/>
      <c r="G96" s="132">
        <f>IF(OR(D96="",F96=""),0,D96*F96)</f>
        <v/>
      </c>
      <c r="H96" s="143">
        <f>IF('ประปา-สุขาภิบาล'!D44="","",'ประปา-สุขาภิบาล'!D44)</f>
        <v/>
      </c>
    </row>
    <row r="97">
      <c r="A97" s="131" t="n">
        <v>76</v>
      </c>
      <c r="B97" s="131" t="inlineStr">
        <is>
          <t>ฝ้าเพดาน</t>
        </is>
      </c>
      <c r="C97" s="131">
        <f>'ฝ้าเพดาน'!A16</f>
        <v/>
      </c>
      <c r="D97" s="141">
        <f>'ฝ้าเพดาน'!B16</f>
        <v/>
      </c>
      <c r="E97" s="131">
        <f>'ฝ้าเพดาน'!C16</f>
        <v/>
      </c>
      <c r="F97" s="142" t="n"/>
      <c r="G97" s="132">
        <f>IF(OR(D97="",F97=""),0,D97*F97)</f>
        <v/>
      </c>
      <c r="H97" s="143">
        <f>IF('ฝ้าเพดาน'!D16="","",'ฝ้าเพดาน'!D16)</f>
        <v/>
      </c>
    </row>
    <row r="98">
      <c r="A98" s="131" t="n">
        <v>77</v>
      </c>
      <c r="B98" s="131" t="inlineStr">
        <is>
          <t>ฝ้าเพดาน</t>
        </is>
      </c>
      <c r="C98" s="131">
        <f>'ฝ้าเพดาน'!A17</f>
        <v/>
      </c>
      <c r="D98" s="141">
        <f>'ฝ้าเพดาน'!B17</f>
        <v/>
      </c>
      <c r="E98" s="131">
        <f>'ฝ้าเพดาน'!C17</f>
        <v/>
      </c>
      <c r="F98" s="142" t="n"/>
      <c r="G98" s="132">
        <f>IF(OR(D98="",F98=""),0,D98*F98)</f>
        <v/>
      </c>
      <c r="H98" s="143">
        <f>IF('ฝ้าเพดาน'!D17="","",'ฝ้าเพดาน'!D17)</f>
        <v/>
      </c>
    </row>
    <row r="99">
      <c r="A99" s="131" t="n">
        <v>78</v>
      </c>
      <c r="B99" s="131" t="inlineStr">
        <is>
          <t>ฝ้าเพดาน</t>
        </is>
      </c>
      <c r="C99" s="131">
        <f>'ฝ้าเพดาน'!A18</f>
        <v/>
      </c>
      <c r="D99" s="144" t="n"/>
      <c r="E99" s="131">
        <f>'ฝ้าเพดาน'!C18</f>
        <v/>
      </c>
      <c r="F99" s="142" t="n"/>
      <c r="G99" s="132">
        <f>IF(OR(D99="",F99=""),0,D99*F99)</f>
        <v/>
      </c>
      <c r="H99" s="143">
        <f>IF('ฝ้าเพดาน'!D18="","",'ฝ้าเพดาน'!D18)</f>
        <v/>
      </c>
    </row>
    <row r="100">
      <c r="A100" s="131" t="n">
        <v>79</v>
      </c>
      <c r="B100" s="131" t="inlineStr">
        <is>
          <t>ฝ้าเพดาน</t>
        </is>
      </c>
      <c r="C100" s="131">
        <f>'ฝ้าเพดาน'!A19</f>
        <v/>
      </c>
      <c r="D100" s="141">
        <f>'ฝ้าเพดาน'!B19</f>
        <v/>
      </c>
      <c r="E100" s="131">
        <f>'ฝ้าเพดาน'!C19</f>
        <v/>
      </c>
      <c r="F100" s="142" t="n"/>
      <c r="G100" s="132">
        <f>IF(OR(D100="",F100=""),0,D100*F100)</f>
        <v/>
      </c>
      <c r="H100" s="143">
        <f>IF('ฝ้าเพดาน'!D19="","",'ฝ้าเพดาน'!D19)</f>
        <v/>
      </c>
    </row>
    <row r="101">
      <c r="A101" s="131" t="n">
        <v>80</v>
      </c>
      <c r="B101" s="131" t="inlineStr">
        <is>
          <t>สุขภัณฑ์-ครัว</t>
        </is>
      </c>
      <c r="C101" s="131">
        <f>'สุขภัณฑ์-ครัว'!A40</f>
        <v/>
      </c>
      <c r="D101" s="141">
        <f>'สุขภัณฑ์-ครัว'!B40</f>
        <v/>
      </c>
      <c r="E101" s="131">
        <f>'สุขภัณฑ์-ครัว'!C40</f>
        <v/>
      </c>
      <c r="F101" s="142" t="n">
        <v>6000</v>
      </c>
      <c r="G101" s="132">
        <f>IF(OR(D101="",F101=""),0,D101*F101)</f>
        <v/>
      </c>
      <c r="H101" s="143">
        <f>IF('สุขภัณฑ์-ครัว'!D40="","",'สุขภัณฑ์-ครัว'!D40)</f>
        <v/>
      </c>
    </row>
    <row r="102">
      <c r="A102" s="131" t="n">
        <v>81</v>
      </c>
      <c r="B102" s="131" t="inlineStr">
        <is>
          <t>สุขภัณฑ์-ครัว</t>
        </is>
      </c>
      <c r="C102" s="131">
        <f>'สุขภัณฑ์-ครัว'!A41</f>
        <v/>
      </c>
      <c r="D102" s="141">
        <f>'สุขภัณฑ์-ครัว'!B41</f>
        <v/>
      </c>
      <c r="E102" s="131">
        <f>'สุขภัณฑ์-ครัว'!C41</f>
        <v/>
      </c>
      <c r="F102" s="142" t="n">
        <v>1800</v>
      </c>
      <c r="G102" s="132">
        <f>IF(OR(D102="",F102=""),0,D102*F102)</f>
        <v/>
      </c>
      <c r="H102" s="143">
        <f>IF('สุขภัณฑ์-ครัว'!D41="","",'สุขภัณฑ์-ครัว'!D41)</f>
        <v/>
      </c>
    </row>
    <row r="103">
      <c r="A103" s="131" t="n">
        <v>82</v>
      </c>
      <c r="B103" s="131" t="inlineStr">
        <is>
          <t>สุขภัณฑ์-ครัว</t>
        </is>
      </c>
      <c r="C103" s="131">
        <f>'สุขภัณฑ์-ครัว'!A42</f>
        <v/>
      </c>
      <c r="D103" s="141">
        <f>'สุขภัณฑ์-ครัว'!B42</f>
        <v/>
      </c>
      <c r="E103" s="131">
        <f>'สุขภัณฑ์-ครัว'!C42</f>
        <v/>
      </c>
      <c r="F103" s="142" t="n">
        <v>500</v>
      </c>
      <c r="G103" s="132">
        <f>IF(OR(D103="",F103=""),0,D103*F103)</f>
        <v/>
      </c>
      <c r="H103" s="143">
        <f>IF('สุขภัณฑ์-ครัว'!D42="","",'สุขภัณฑ์-ครัว'!D42)</f>
        <v/>
      </c>
    </row>
    <row r="104">
      <c r="A104" s="131" t="n">
        <v>83</v>
      </c>
      <c r="B104" s="131" t="inlineStr">
        <is>
          <t>สุขภัณฑ์-ครัว</t>
        </is>
      </c>
      <c r="C104" s="131">
        <f>'สุขภัณฑ์-ครัว'!A43</f>
        <v/>
      </c>
      <c r="D104" s="141">
        <f>'สุขภัณฑ์-ครัว'!B43</f>
        <v/>
      </c>
      <c r="E104" s="131">
        <f>'สุขภัณฑ์-ครัว'!C43</f>
        <v/>
      </c>
      <c r="F104" s="142" t="n">
        <v>500</v>
      </c>
      <c r="G104" s="132">
        <f>IF(OR(D104="",F104=""),0,D104*F104)</f>
        <v/>
      </c>
      <c r="H104" s="143">
        <f>IF('สุขภัณฑ์-ครัว'!D43="","",'สุขภัณฑ์-ครัว'!D43)</f>
        <v/>
      </c>
    </row>
    <row r="105">
      <c r="A105" s="131" t="n">
        <v>84</v>
      </c>
      <c r="B105" s="131" t="inlineStr">
        <is>
          <t>สุขภัณฑ์-ครัว</t>
        </is>
      </c>
      <c r="C105" s="131">
        <f>'สุขภัณฑ์-ครัว'!A44</f>
        <v/>
      </c>
      <c r="D105" s="141">
        <f>'สุขภัณฑ์-ครัว'!B44</f>
        <v/>
      </c>
      <c r="E105" s="131">
        <f>'สุขภัณฑ์-ครัว'!C44</f>
        <v/>
      </c>
      <c r="F105" s="142" t="n">
        <v>150</v>
      </c>
      <c r="G105" s="132">
        <f>IF(OR(D105="",F105=""),0,D105*F105)</f>
        <v/>
      </c>
      <c r="H105" s="143">
        <f>IF('สุขภัณฑ์-ครัว'!D44="","",'สุขภัณฑ์-ครัว'!D44)</f>
        <v/>
      </c>
    </row>
    <row r="106">
      <c r="A106" s="131" t="n">
        <v>85</v>
      </c>
      <c r="B106" s="131" t="inlineStr">
        <is>
          <t>สุขภัณฑ์-ครัว</t>
        </is>
      </c>
      <c r="C106" s="131">
        <f>'สุขภัณฑ์-ครัว'!A45</f>
        <v/>
      </c>
      <c r="D106" s="141">
        <f>'สุขภัณฑ์-ครัว'!B45</f>
        <v/>
      </c>
      <c r="E106" s="131">
        <f>'สุขภัณฑ์-ครัว'!C45</f>
        <v/>
      </c>
      <c r="F106" s="142" t="n">
        <v>250</v>
      </c>
      <c r="G106" s="132">
        <f>IF(OR(D106="",F106=""),0,D106*F106)</f>
        <v/>
      </c>
      <c r="H106" s="143">
        <f>IF('สุขภัณฑ์-ครัว'!D45="","",'สุขภัณฑ์-ครัว'!D45)</f>
        <v/>
      </c>
    </row>
    <row r="107">
      <c r="A107" s="131" t="n">
        <v>86</v>
      </c>
      <c r="B107" s="131" t="inlineStr">
        <is>
          <t>สุขภัณฑ์-ครัว</t>
        </is>
      </c>
      <c r="C107" s="131">
        <f>'สุขภัณฑ์-ครัว'!A46</f>
        <v/>
      </c>
      <c r="D107" s="141">
        <f>'สุขภัณฑ์-ครัว'!B46</f>
        <v/>
      </c>
      <c r="E107" s="131">
        <f>'สุขภัณฑ์-ครัว'!C46</f>
        <v/>
      </c>
      <c r="F107" s="142" t="n">
        <v>850</v>
      </c>
      <c r="G107" s="132">
        <f>IF(OR(D107="",F107=""),0,D107*F107)</f>
        <v/>
      </c>
      <c r="H107" s="143">
        <f>IF('สุขภัณฑ์-ครัว'!D46="","",'สุขภัณฑ์-ครัว'!D46)</f>
        <v/>
      </c>
    </row>
    <row r="108">
      <c r="A108" s="131" t="n">
        <v>87</v>
      </c>
      <c r="B108" s="131" t="inlineStr">
        <is>
          <t>สุขภัณฑ์-ครัว</t>
        </is>
      </c>
      <c r="C108" s="131">
        <f>'สุขภัณฑ์-ครัว'!A47</f>
        <v/>
      </c>
      <c r="D108" s="141">
        <f>'สุขภัณฑ์-ครัว'!B47</f>
        <v/>
      </c>
      <c r="E108" s="131">
        <f>'สุขภัณฑ์-ครัว'!C47</f>
        <v/>
      </c>
      <c r="F108" s="142" t="n">
        <v>0</v>
      </c>
      <c r="G108" s="132">
        <f>IF(OR(D108="",F108=""),0,D108*F108)</f>
        <v/>
      </c>
      <c r="H108" s="143">
        <f>IF('สุขภัณฑ์-ครัว'!D47="","",'สุขภัณฑ์-ครัว'!D47)</f>
        <v/>
      </c>
    </row>
    <row r="109">
      <c r="A109" s="131" t="n">
        <v>88</v>
      </c>
      <c r="B109" s="131" t="inlineStr">
        <is>
          <t>สุขภัณฑ์-ครัว</t>
        </is>
      </c>
      <c r="C109" s="131">
        <f>'สุขภัณฑ์-ครัว'!A48</f>
        <v/>
      </c>
      <c r="D109" s="141">
        <f>'สุขภัณฑ์-ครัว'!B48</f>
        <v/>
      </c>
      <c r="E109" s="131">
        <f>'สุขภัณฑ์-ครัว'!C48</f>
        <v/>
      </c>
      <c r="F109" s="142" t="n">
        <v>800</v>
      </c>
      <c r="G109" s="132">
        <f>IF(OR(D109="",F109=""),0,D109*F109)</f>
        <v/>
      </c>
      <c r="H109" s="143">
        <f>IF('สุขภัณฑ์-ครัว'!D48="","",'สุขภัณฑ์-ครัว'!D48)</f>
        <v/>
      </c>
    </row>
    <row r="110">
      <c r="A110" s="131" t="n">
        <v>89</v>
      </c>
      <c r="B110" s="131" t="inlineStr">
        <is>
          <t>สุขภัณฑ์-ครัว</t>
        </is>
      </c>
      <c r="C110" s="131">
        <f>'สุขภัณฑ์-ครัว'!A49</f>
        <v/>
      </c>
      <c r="D110" s="141">
        <f>'สุขภัณฑ์-ครัว'!B49</f>
        <v/>
      </c>
      <c r="E110" s="131">
        <f>'สุขภัณฑ์-ครัว'!C49</f>
        <v/>
      </c>
      <c r="F110" s="142" t="n">
        <v>500</v>
      </c>
      <c r="G110" s="132">
        <f>IF(OR(D110="",F110=""),0,D110*F110)</f>
        <v/>
      </c>
      <c r="H110" s="143">
        <f>IF('สุขภัณฑ์-ครัว'!D49="","",'สุขภัณฑ์-ครัว'!D49)</f>
        <v/>
      </c>
    </row>
    <row r="111">
      <c r="A111" s="131" t="n">
        <v>90</v>
      </c>
      <c r="B111" s="131" t="inlineStr">
        <is>
          <t>สุขภัณฑ์-ครัว</t>
        </is>
      </c>
      <c r="C111" s="131">
        <f>'สุขภัณฑ์-ครัว'!A50</f>
        <v/>
      </c>
      <c r="D111" s="141">
        <f>'สุขภัณฑ์-ครัว'!B50</f>
        <v/>
      </c>
      <c r="E111" s="131">
        <f>'สุขภัณฑ์-ครัว'!C50</f>
        <v/>
      </c>
      <c r="F111" s="142" t="n">
        <v>1500</v>
      </c>
      <c r="G111" s="132">
        <f>IF(OR(D111="",F111=""),0,D111*F111)</f>
        <v/>
      </c>
      <c r="H111" s="143">
        <f>IF('สุขภัณฑ์-ครัว'!D50="","",'สุขภัณฑ์-ครัว'!D50)</f>
        <v/>
      </c>
    </row>
    <row r="112">
      <c r="A112" s="131" t="n">
        <v>91</v>
      </c>
      <c r="B112" s="131" t="inlineStr">
        <is>
          <t>สุขภัณฑ์-ครัว</t>
        </is>
      </c>
      <c r="C112" s="131">
        <f>'สุขภัณฑ์-ครัว'!A51</f>
        <v/>
      </c>
      <c r="D112" s="141">
        <f>'สุขภัณฑ์-ครัว'!B51</f>
        <v/>
      </c>
      <c r="E112" s="131">
        <f>'สุขภัณฑ์-ครัว'!C51</f>
        <v/>
      </c>
      <c r="F112" s="142" t="n">
        <v>250</v>
      </c>
      <c r="G112" s="132">
        <f>IF(OR(D112="",F112=""),0,D112*F112)</f>
        <v/>
      </c>
      <c r="H112" s="143">
        <f>IF('สุขภัณฑ์-ครัว'!D51="","",'สุขภัณฑ์-ครัว'!D51)</f>
        <v/>
      </c>
    </row>
    <row r="113">
      <c r="A113" s="131" t="n">
        <v>92</v>
      </c>
      <c r="B113" s="131" t="inlineStr">
        <is>
          <t>สุขภัณฑ์-ครัว</t>
        </is>
      </c>
      <c r="C113" s="131">
        <f>'สุขภัณฑ์-ครัว'!A52</f>
        <v/>
      </c>
      <c r="D113" s="141">
        <f>'สุขภัณฑ์-ครัว'!B52</f>
        <v/>
      </c>
      <c r="E113" s="131">
        <f>'สุขภัณฑ์-ครัว'!C52</f>
        <v/>
      </c>
      <c r="F113" s="142" t="n">
        <v>300</v>
      </c>
      <c r="G113" s="132">
        <f>IF(OR(D113="",F113=""),0,D113*F113)</f>
        <v/>
      </c>
      <c r="H113" s="143">
        <f>IF('สุขภัณฑ์-ครัว'!D52="","",'สุขภัณฑ์-ครัว'!D52)</f>
        <v/>
      </c>
    </row>
    <row r="114">
      <c r="A114" s="131" t="n">
        <v>93</v>
      </c>
      <c r="B114" s="131" t="inlineStr">
        <is>
          <t>สุขภัณฑ์-ครัว</t>
        </is>
      </c>
      <c r="C114" s="131">
        <f>'สุขภัณฑ์-ครัว'!A53</f>
        <v/>
      </c>
      <c r="D114" s="141">
        <f>'สุขภัณฑ์-ครัว'!B53</f>
        <v/>
      </c>
      <c r="E114" s="131">
        <f>'สุขภัณฑ์-ครัว'!C53</f>
        <v/>
      </c>
      <c r="F114" s="142" t="n">
        <v>100</v>
      </c>
      <c r="G114" s="132">
        <f>IF(OR(D114="",F114=""),0,D114*F114)</f>
        <v/>
      </c>
      <c r="H114" s="143">
        <f>IF('สุขภัณฑ์-ครัว'!D53="","",'สุขภัณฑ์-ครัว'!D53)</f>
        <v/>
      </c>
    </row>
    <row r="115">
      <c r="A115" s="131" t="n">
        <v>94</v>
      </c>
      <c r="B115" s="131" t="inlineStr">
        <is>
          <t>สุขภัณฑ์-ครัว</t>
        </is>
      </c>
      <c r="C115" s="131">
        <f>'สุขภัณฑ์-ครัว'!A54</f>
        <v/>
      </c>
      <c r="D115" s="141">
        <f>'สุขภัณฑ์-ครัว'!B54</f>
        <v/>
      </c>
      <c r="E115" s="131">
        <f>'สุขภัณฑ์-ครัว'!C54</f>
        <v/>
      </c>
      <c r="F115" s="142" t="n">
        <v>500</v>
      </c>
      <c r="G115" s="132">
        <f>IF(OR(D115="",F115=""),0,D115*F115)</f>
        <v/>
      </c>
      <c r="H115" s="143">
        <f>IF('สุขภัณฑ์-ครัว'!D54="","",'สุขภัณฑ์-ครัว'!D54)</f>
        <v/>
      </c>
    </row>
    <row r="116">
      <c r="A116" s="131" t="n">
        <v>95</v>
      </c>
      <c r="B116" s="131" t="inlineStr">
        <is>
          <t>สุขภัณฑ์-ครัว</t>
        </is>
      </c>
      <c r="C116" s="131">
        <f>'สุขภัณฑ์-ครัว'!A55</f>
        <v/>
      </c>
      <c r="D116" s="141">
        <f>'สุขภัณฑ์-ครัว'!B55</f>
        <v/>
      </c>
      <c r="E116" s="131">
        <f>'สุขภัณฑ์-ครัว'!C55</f>
        <v/>
      </c>
      <c r="F116" s="142" t="n">
        <v>0</v>
      </c>
      <c r="G116" s="132">
        <f>IF(OR(D116="",F116=""),0,D116*F116)</f>
        <v/>
      </c>
      <c r="H116" s="143">
        <f>IF('สุขภัณฑ์-ครัว'!D55="","",'สุขภัณฑ์-ครัว'!D55)</f>
        <v/>
      </c>
    </row>
    <row r="117">
      <c r="A117" s="131" t="n">
        <v>96</v>
      </c>
      <c r="B117" s="131" t="inlineStr">
        <is>
          <t>สุขภัณฑ์-ครัว</t>
        </is>
      </c>
      <c r="C117" s="131">
        <f>'สุขภัณฑ์-ครัว'!A56</f>
        <v/>
      </c>
      <c r="D117" s="141">
        <f>'สุขภัณฑ์-ครัว'!B56</f>
        <v/>
      </c>
      <c r="E117" s="131">
        <f>'สุขภัณฑ์-ครัว'!C56</f>
        <v/>
      </c>
      <c r="F117" s="142" t="n">
        <v>0</v>
      </c>
      <c r="G117" s="132">
        <f>IF(OR(D117="",F117=""),0,D117*F117)</f>
        <v/>
      </c>
      <c r="H117" s="143">
        <f>IF('สุขภัณฑ์-ครัว'!D56="","",'สุขภัณฑ์-ครัว'!D56)</f>
        <v/>
      </c>
    </row>
    <row r="118">
      <c r="A118" s="131" t="n">
        <v>97</v>
      </c>
      <c r="B118" s="131" t="inlineStr">
        <is>
          <t>สุขภัณฑ์-ครัว</t>
        </is>
      </c>
      <c r="C118" s="131">
        <f>'สุขภัณฑ์-ครัว'!A57</f>
        <v/>
      </c>
      <c r="D118" s="141">
        <f>'สุขภัณฑ์-ครัว'!B57</f>
        <v/>
      </c>
      <c r="E118" s="131">
        <f>'สุขภัณฑ์-ครัว'!C57</f>
        <v/>
      </c>
      <c r="F118" s="142" t="n">
        <v>250</v>
      </c>
      <c r="G118" s="132">
        <f>IF(OR(D118="",F118=""),0,D118*F118)</f>
        <v/>
      </c>
      <c r="H118" s="143">
        <f>IF('สุขภัณฑ์-ครัว'!D57="","",'สุขภัณฑ์-ครัว'!D57)</f>
        <v/>
      </c>
    </row>
    <row r="119">
      <c r="A119" s="131" t="n">
        <v>98</v>
      </c>
      <c r="B119" s="131" t="inlineStr">
        <is>
          <t>สุขภัณฑ์-ครัว</t>
        </is>
      </c>
      <c r="C119" s="131">
        <f>'สุขภัณฑ์-ครัว'!A58</f>
        <v/>
      </c>
      <c r="D119" s="141">
        <f>'สุขภัณฑ์-ครัว'!B58</f>
        <v/>
      </c>
      <c r="E119" s="131">
        <f>'สุขภัณฑ์-ครัว'!C58</f>
        <v/>
      </c>
      <c r="F119" s="142" t="n">
        <v>0</v>
      </c>
      <c r="G119" s="132">
        <f>IF(OR(D119="",F119=""),0,D119*F119)</f>
        <v/>
      </c>
      <c r="H119" s="143">
        <f>IF('สุขภัณฑ์-ครัว'!D58="","",'สุขภัณฑ์-ครัว'!D58)</f>
        <v/>
      </c>
    </row>
    <row r="120">
      <c r="A120" s="131" t="n">
        <v>99</v>
      </c>
      <c r="B120" s="131" t="inlineStr">
        <is>
          <t>สุขภัณฑ์-ครัว</t>
        </is>
      </c>
      <c r="C120" s="131">
        <f>'สุขภัณฑ์-ครัว'!A59</f>
        <v/>
      </c>
      <c r="D120" s="141">
        <f>'สุขภัณฑ์-ครัว'!B59</f>
        <v/>
      </c>
      <c r="E120" s="131">
        <f>'สุขภัณฑ์-ครัว'!C59</f>
        <v/>
      </c>
      <c r="F120" s="142" t="n">
        <v>220</v>
      </c>
      <c r="G120" s="132">
        <f>IF(OR(D120="",F120=""),0,D120*F120)</f>
        <v/>
      </c>
      <c r="H120" s="143">
        <f>IF('สุขภัณฑ์-ครัว'!D59="","",'สุขภัณฑ์-ครัว'!D59)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10" defaultColWidth="8.83203125" defaultRowHeight="15"/>
  <cols>
    <col width="46" customWidth="1" min="1" max="1"/>
    <col width="14" customWidth="1" min="2" max="2"/>
    <col width="62" customWidth="1" min="3" max="3"/>
  </cols>
  <sheetData>
    <row r="1" ht="18" customHeight="1">
      <c r="A1" s="1" t="inlineStr">
        <is>
          <t>ข้อสมมติและค่าที่ใช้คำนวณ (แก้ได้เฉพาะช่องสีน้ำเงิน พื้นเหลือง)</t>
        </is>
      </c>
    </row>
    <row r="3" ht="32" customHeight="1">
      <c r="A3" s="3" t="inlineStr">
        <is>
          <t>รายการ</t>
        </is>
      </c>
      <c r="B3" s="3" t="inlineStr">
        <is>
          <t>ค่า</t>
        </is>
      </c>
      <c r="C3" s="3" t="inlineStr">
        <is>
          <t>หมายเหตุ / ที่มา</t>
        </is>
      </c>
    </row>
    <row r="4">
      <c r="A4" s="4" t="inlineStr">
        <is>
          <t>จำนวนอิฐบล็อกต่อ ตร.ม. (บล็อก 7x19x39 ซม. รวมร่องปูน)</t>
        </is>
      </c>
      <c r="B4" s="10" t="n">
        <v>12.5</v>
      </c>
      <c r="C4" s="11" t="inlineStr">
        <is>
          <t>ค่ามาตรฐานทั่วไป ไม่ใช่ค่าจากแบบ - ขนาดอิฐอื่นต้องเปลี่ยนค่านี้</t>
        </is>
      </c>
    </row>
    <row r="5">
      <c r="A5" s="4" t="inlineStr">
        <is>
          <t>เผื่อเสียอิฐบล็อก</t>
        </is>
      </c>
      <c r="B5" s="12" t="n">
        <v>0.05</v>
      </c>
      <c r="C5" s="11" t="inlineStr">
        <is>
          <t>สมมติ 5%</t>
        </is>
      </c>
    </row>
    <row r="6">
      <c r="A6" s="4" t="inlineStr">
        <is>
          <t>กระเบื้องพื้น แกรนิตโต้ ด้านละ (ม.)</t>
        </is>
      </c>
      <c r="B6" s="13" t="n">
        <v>0.6</v>
      </c>
      <c r="C6" s="11" t="inlineStr">
        <is>
          <t>ตามที่ผู้ใช้กำหนด 60x60 ซม.</t>
        </is>
      </c>
    </row>
    <row r="7">
      <c r="A7" s="4" t="inlineStr">
        <is>
          <t>เผื่อเสียกระเบื้องพื้น</t>
        </is>
      </c>
      <c r="B7" s="12" t="n">
        <v>0.1</v>
      </c>
      <c r="C7" s="11" t="inlineStr">
        <is>
          <t>สมมติ 10% (เศษตัดและแตกหัก)</t>
        </is>
      </c>
    </row>
    <row r="8">
      <c r="A8" s="4" t="inlineStr">
        <is>
          <t>กระเบื้องผนังห้องน้ำ แผ่นละ (ตร.ม.) 30x60 ซม.</t>
        </is>
      </c>
      <c r="B8" s="13" t="n">
        <v>0.18</v>
      </c>
      <c r="C8" s="11" t="inlineStr">
        <is>
          <t>ขนาดตามลายในโมเดล (30x60 ซม.) ผู้ใช้ไม่ได้ระบุขนาดจริง</t>
        </is>
      </c>
    </row>
    <row r="9">
      <c r="A9" s="4" t="inlineStr">
        <is>
          <t>เผื่อเสียกระเบื้องผนัง</t>
        </is>
      </c>
      <c r="B9" s="12" t="n">
        <v>0.1</v>
      </c>
      <c r="C9" s="11" t="inlineStr">
        <is>
          <t>สมมติ 10%</t>
        </is>
      </c>
    </row>
    <row r="10">
      <c r="A10" s="4" t="inlineStr">
        <is>
          <t>ความกว้างหน้าตัดแผ่น PU ลอน 760 (ม.)</t>
        </is>
      </c>
      <c r="B10" s="13" t="n">
        <v>0.76</v>
      </c>
      <c r="C10" s="11" t="inlineStr">
        <is>
          <t>ตามที่ผู้ใช้กำหนด</t>
        </is>
      </c>
    </row>
    <row r="11">
      <c r="A11" s="4" t="inlineStr">
        <is>
          <t>เผื่อเสียแผ่นหลังคา</t>
        </is>
      </c>
      <c r="B11" s="12" t="n">
        <v>0.1</v>
      </c>
      <c r="C11" s="11" t="inlineStr">
        <is>
          <t>สมมติ 10% (ตัดมุมสันหยา/ร่อง)</t>
        </is>
      </c>
    </row>
    <row r="12">
      <c r="A12" s="4" t="inlineStr">
        <is>
          <t>ความลาดหลังคาจั่ว (องศา)</t>
        </is>
      </c>
      <c r="B12" s="10" t="n">
        <v>17.1</v>
      </c>
      <c r="C12" s="11" t="inlineStr">
        <is>
          <t>จากโมเดล a, b, c, d</t>
        </is>
      </c>
    </row>
    <row r="13">
      <c r="A13" s="4" t="inlineStr">
        <is>
          <t>ความลาดหลังคาเพิง (องศา)</t>
        </is>
      </c>
      <c r="B13" s="10" t="n">
        <v>5</v>
      </c>
      <c r="C13" s="11" t="inlineStr">
        <is>
          <t>วัดจากโมเดล merged-roof.001</t>
        </is>
      </c>
    </row>
    <row r="14">
      <c r="A14" s="4" t="inlineStr">
        <is>
          <t>ความหนาพื้นคอนกรีต (ม.)</t>
        </is>
      </c>
      <c r="B14" s="13" t="n">
        <v>0.5</v>
      </c>
      <c r="C14" s="11" t="inlineStr">
        <is>
          <t>จากโมเดล (พื้นสูง 0.5 ม. จากระดับดิน 0.0)</t>
        </is>
      </c>
    </row>
    <row r="15">
      <c r="A15" s="4" t="inlineStr">
        <is>
          <t>ความสูงกระเบื้องผนังห้องน้ำ จากพื้นกระเบื้อง (ม.)</t>
        </is>
      </c>
      <c r="B15" s="14" t="n">
        <v>2.588</v>
      </c>
      <c r="C15" s="11" t="inlineStr">
        <is>
          <t>โมเดล z 0.512 ถึง 3.10</t>
        </is>
      </c>
    </row>
    <row r="18">
      <c r="A18" s="15" t="inlineStr">
        <is>
          <t>หมายเหตุ: ปริมาณทั้งหมดคำนวณจากโมเดล Blender v413 (ขนาดกรอบนอกของประตูหน้าต่าง) ยังไม่หักเสา คานทับหลัง และการซ้อนที่มุมผนัง ควรให้ผู้รับเหมาตรวจนับหน้างานอีกครั้ง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topLeftCell="A9" workbookViewId="0">
      <selection activeCell="M26" sqref="M26"/>
    </sheetView>
  </sheetViews>
  <sheetFormatPr baseColWidth="10" defaultColWidth="8.83203125" defaultRowHeight="15"/>
  <cols>
    <col width="38" customWidth="1" min="1" max="1"/>
    <col width="12" customWidth="1" min="2" max="2"/>
    <col width="10" customWidth="1" min="3" max="3"/>
    <col width="12" customWidth="1" min="4" max="4"/>
    <col width="14" customWidth="1" min="5" max="8"/>
    <col width="10.1640625" bestFit="1" customWidth="1" min="10" max="10"/>
  </cols>
  <sheetData>
    <row r="1" ht="18" customHeight="1">
      <c r="A1" s="1" t="inlineStr">
        <is>
          <t>ปริมาณผนังก่ออิฐและอิฐบล็อก</t>
        </is>
      </c>
    </row>
    <row r="3" ht="32" customHeight="1">
      <c r="A3" s="3" t="inlineStr">
        <is>
          <t>ผนัง</t>
        </is>
      </c>
      <c r="B3" s="3" t="inlineStr">
        <is>
          <t>ยาว (ม.)</t>
        </is>
      </c>
      <c r="C3" s="3" t="inlineStr">
        <is>
          <t>สูง (ม.)</t>
        </is>
      </c>
      <c r="D3" s="3" t="inlineStr">
        <is>
          <t>หนา (ม.)</t>
        </is>
      </c>
      <c r="E3" s="3" t="inlineStr">
        <is>
          <t>พื้นที่รวม (ตร.ม.)</t>
        </is>
      </c>
      <c r="F3" s="3" t="inlineStr">
        <is>
          <t>หักช่องเปิด (ตร.ม.)</t>
        </is>
      </c>
      <c r="G3" s="3" t="inlineStr">
        <is>
          <t>พื้นที่ก่อสุทธิ (ตร.ม.)</t>
        </is>
      </c>
      <c r="H3" s="3" t="inlineStr">
        <is>
          <t>อิฐบล็อก (ก้อน)</t>
        </is>
      </c>
    </row>
    <row r="4">
      <c r="A4" s="4" t="inlineStr">
        <is>
          <t>ผนังนอก_ตะวันตก_นอน1</t>
        </is>
      </c>
      <c r="B4" s="16" t="n">
        <v>5.12</v>
      </c>
      <c r="C4" s="16" t="n">
        <v>3</v>
      </c>
      <c r="D4" s="17" t="n">
        <v>0.12</v>
      </c>
      <c r="E4" s="18">
        <f>B4*C4</f>
        <v/>
      </c>
      <c r="F4" s="16" t="n">
        <v>2.2</v>
      </c>
      <c r="G4" s="18">
        <f>E4-F4</f>
        <v/>
      </c>
      <c r="H4" s="19">
        <f>G4*ข้อสมมติ!$B$4</f>
        <v/>
      </c>
    </row>
    <row r="5">
      <c r="A5" s="4" t="inlineStr">
        <is>
          <t>ผนังนอก_ตะวันออก_นอน2</t>
        </is>
      </c>
      <c r="B5" s="16" t="n">
        <v>5.06</v>
      </c>
      <c r="C5" s="16" t="n">
        <v>3</v>
      </c>
      <c r="D5" s="17" t="n">
        <v>0.12</v>
      </c>
      <c r="E5" s="18">
        <f>B5*C5</f>
        <v/>
      </c>
      <c r="F5" s="16" t="n">
        <v>2.2</v>
      </c>
      <c r="G5" s="18">
        <f>E5-F5</f>
        <v/>
      </c>
      <c r="H5" s="19">
        <f>G5*ข้อสมมติ!$B$4</f>
        <v/>
      </c>
    </row>
    <row r="6">
      <c r="A6" s="4" t="inlineStr">
        <is>
          <t>ผนังนอก_ตะวันออก_นั่งเล่น</t>
        </is>
      </c>
      <c r="B6" s="16" t="n">
        <v>3.56</v>
      </c>
      <c r="C6" s="16" t="n">
        <v>3</v>
      </c>
      <c r="D6" s="17" t="n">
        <v>0.12</v>
      </c>
      <c r="E6" s="18">
        <f>B6*C6</f>
        <v/>
      </c>
      <c r="F6" s="16" t="n">
        <v>3.6</v>
      </c>
      <c r="G6" s="18">
        <f>E6-F6</f>
        <v/>
      </c>
      <c r="H6" s="19">
        <f>G6*ข้อสมมติ!$B$4</f>
        <v/>
      </c>
    </row>
    <row r="7">
      <c r="A7" s="4" t="inlineStr">
        <is>
          <t>ผนังนอก_ตะวันออก_เก็บของ+นั่งเล่น</t>
        </is>
      </c>
      <c r="B7" s="16" t="n">
        <v>4.5</v>
      </c>
      <c r="C7" s="16" t="n">
        <v>3</v>
      </c>
      <c r="D7" s="17" t="n">
        <v>0.12</v>
      </c>
      <c r="E7" s="18">
        <f>B7*C7</f>
        <v/>
      </c>
      <c r="F7" s="16" t="n">
        <v>1.72</v>
      </c>
      <c r="G7" s="18">
        <f>E7-F7</f>
        <v/>
      </c>
      <c r="H7" s="19">
        <f>G7*ข้อสมมติ!$B$4</f>
        <v/>
      </c>
    </row>
    <row r="8">
      <c r="A8" s="4" t="inlineStr">
        <is>
          <t>ผนังนอก_เหนือ_นอน1+น้ำ1+น้ำ2+นอน2</t>
        </is>
      </c>
      <c r="B8" s="16" t="n">
        <v>11.12</v>
      </c>
      <c r="C8" s="16" t="n">
        <v>3</v>
      </c>
      <c r="D8" s="17" t="n">
        <v>0.12</v>
      </c>
      <c r="E8" s="18">
        <f>B8*C8</f>
        <v/>
      </c>
      <c r="F8" s="16" t="n">
        <v>4.6</v>
      </c>
      <c r="G8" s="18">
        <f>E8-F8</f>
        <v/>
      </c>
      <c r="H8" s="19">
        <f>G8*ข้อสมมติ!$B$4</f>
        <v/>
      </c>
    </row>
    <row r="9">
      <c r="A9" s="4" t="inlineStr">
        <is>
          <t>ผนังนอก_เหนือ_นั่งเล่น</t>
        </is>
      </c>
      <c r="B9" s="16" t="n">
        <v>1.85</v>
      </c>
      <c r="C9" s="16" t="n">
        <v>3</v>
      </c>
      <c r="D9" s="17" t="n">
        <v>0.12</v>
      </c>
      <c r="E9" s="18">
        <f>B9*C9</f>
        <v/>
      </c>
      <c r="F9" s="16" t="n">
        <v>1.6</v>
      </c>
      <c r="G9" s="18">
        <f>E9-F9</f>
        <v/>
      </c>
      <c r="H9" s="19">
        <f>G9*ข้อสมมติ!$B$4</f>
        <v/>
      </c>
    </row>
    <row r="10">
      <c r="A10" s="4" t="inlineStr">
        <is>
          <t>ผนังนอก_ใต้_นอน1</t>
        </is>
      </c>
      <c r="B10" s="16" t="n">
        <v>2.56</v>
      </c>
      <c r="C10" s="16" t="n">
        <v>3</v>
      </c>
      <c r="D10" s="17" t="n">
        <v>0.12</v>
      </c>
      <c r="E10" s="18">
        <f>B10*C10</f>
        <v/>
      </c>
      <c r="F10" s="16" t="n">
        <v>0.75</v>
      </c>
      <c r="G10" s="18">
        <f>E10-F10</f>
        <v/>
      </c>
      <c r="H10" s="19">
        <f>G10*ข้อสมมติ!$B$4</f>
        <v/>
      </c>
    </row>
    <row r="11">
      <c r="A11" s="4" t="inlineStr">
        <is>
          <t>ผนังนอก_ใต้_นั่งเล่น</t>
        </is>
      </c>
      <c r="B11" s="16" t="n">
        <v>5.62</v>
      </c>
      <c r="C11" s="16" t="n">
        <v>3</v>
      </c>
      <c r="D11" s="17" t="n">
        <v>0.12</v>
      </c>
      <c r="E11" s="18">
        <f>B11*C11</f>
        <v/>
      </c>
      <c r="F11" s="16" t="n">
        <v>1.5</v>
      </c>
      <c r="G11" s="18">
        <f>E11-F11</f>
        <v/>
      </c>
      <c r="H11" s="19">
        <f>G11*ข้อสมมติ!$B$4</f>
        <v/>
      </c>
    </row>
    <row r="12">
      <c r="A12" s="4" t="inlineStr">
        <is>
          <t>ผนังนอก_ใต้_เก็บของ</t>
        </is>
      </c>
      <c r="B12" s="16" t="n">
        <v>1.85</v>
      </c>
      <c r="C12" s="16" t="n">
        <v>3</v>
      </c>
      <c r="D12" s="17" t="n">
        <v>0.12</v>
      </c>
      <c r="E12" s="18">
        <f>B12*C12</f>
        <v/>
      </c>
      <c r="F12" s="16" t="n">
        <v>0.4</v>
      </c>
      <c r="G12" s="18">
        <f>E12-F12</f>
        <v/>
      </c>
      <c r="H12" s="19">
        <f>G12*ข้อสมมติ!$B$4</f>
        <v/>
      </c>
    </row>
    <row r="13">
      <c r="A13" s="4" t="inlineStr">
        <is>
          <t>ผนังใน_นอน1|นั่งเล่น</t>
        </is>
      </c>
      <c r="B13" s="16" t="n">
        <v>2.06</v>
      </c>
      <c r="C13" s="16" t="n">
        <v>3</v>
      </c>
      <c r="D13" s="17" t="n">
        <v>0.12</v>
      </c>
      <c r="E13" s="18">
        <f>B13*C13</f>
        <v/>
      </c>
      <c r="F13" s="16" t="n">
        <v>1.6</v>
      </c>
      <c r="G13" s="18">
        <f>E13-F13</f>
        <v/>
      </c>
      <c r="H13" s="19">
        <f>G13*ข้อสมมติ!$B$4</f>
        <v/>
      </c>
    </row>
    <row r="14">
      <c r="A14" s="4" t="inlineStr">
        <is>
          <t>ผนังใน_นอน1|น้ำ1_1</t>
        </is>
      </c>
      <c r="B14" s="16" t="n">
        <v>3</v>
      </c>
      <c r="C14" s="16" t="n">
        <v>3</v>
      </c>
      <c r="D14" s="17" t="n">
        <v>0.12</v>
      </c>
      <c r="E14" s="18">
        <f>B14*C14</f>
        <v/>
      </c>
      <c r="F14" s="16" t="n">
        <v>0</v>
      </c>
      <c r="G14" s="18">
        <f>E14-F14</f>
        <v/>
      </c>
      <c r="H14" s="19">
        <f>G14*ข้อสมมติ!$B$4</f>
        <v/>
      </c>
    </row>
    <row r="15">
      <c r="A15" s="4" t="inlineStr">
        <is>
          <t>ผนังใน_นอน1|น้ำ1_2</t>
        </is>
      </c>
      <c r="B15" s="16" t="n">
        <v>2.06</v>
      </c>
      <c r="C15" s="16" t="n">
        <v>3</v>
      </c>
      <c r="D15" s="17" t="n">
        <v>0.12</v>
      </c>
      <c r="E15" s="18">
        <f>B15*C15</f>
        <v/>
      </c>
      <c r="F15" s="16" t="n">
        <v>1.4</v>
      </c>
      <c r="G15" s="18">
        <f>E15-F15</f>
        <v/>
      </c>
      <c r="H15" s="19">
        <f>G15*ข้อสมมติ!$B$4</f>
        <v/>
      </c>
    </row>
    <row r="16">
      <c r="A16" s="4" t="inlineStr">
        <is>
          <t>ผนังใน_นั่งเล่น|นอน2_1</t>
        </is>
      </c>
      <c r="B16" s="16" t="n">
        <v>2.12</v>
      </c>
      <c r="C16" s="16" t="n">
        <v>3</v>
      </c>
      <c r="D16" s="17" t="n">
        <v>0.12</v>
      </c>
      <c r="E16" s="18">
        <f>B16*C16</f>
        <v/>
      </c>
      <c r="F16" s="16" t="n">
        <v>1.6</v>
      </c>
      <c r="G16" s="18">
        <f>E16-F16</f>
        <v/>
      </c>
      <c r="H16" s="19">
        <f>G16*ข้อสมมติ!$B$4</f>
        <v/>
      </c>
    </row>
    <row r="17">
      <c r="A17" s="4" t="inlineStr">
        <is>
          <t>ผนังใน_นั่งเล่น|นอน2_2</t>
        </is>
      </c>
      <c r="B17" s="16" t="n">
        <v>3.56</v>
      </c>
      <c r="C17" s="16" t="n">
        <v>3</v>
      </c>
      <c r="D17" s="17" t="n">
        <v>0.12</v>
      </c>
      <c r="E17" s="18">
        <f>B17*C17</f>
        <v/>
      </c>
      <c r="F17" s="16" t="n">
        <v>0</v>
      </c>
      <c r="G17" s="18">
        <f>E17-F17</f>
        <v/>
      </c>
      <c r="H17" s="19">
        <f>G17*ข้อสมมติ!$B$4</f>
        <v/>
      </c>
    </row>
    <row r="18">
      <c r="A18" s="4" t="inlineStr">
        <is>
          <t>ผนังใน_นั่งเล่น|น้ำ2</t>
        </is>
      </c>
      <c r="B18" s="16" t="n">
        <v>2</v>
      </c>
      <c r="C18" s="16" t="n">
        <v>3</v>
      </c>
      <c r="D18" s="17" t="n">
        <v>0.12</v>
      </c>
      <c r="E18" s="18">
        <f>B18*C18</f>
        <v/>
      </c>
      <c r="F18" s="16" t="n">
        <v>1.4</v>
      </c>
      <c r="G18" s="18">
        <f>E18-F18</f>
        <v/>
      </c>
      <c r="H18" s="19">
        <f>G18*ข้อสมมติ!$B$4</f>
        <v/>
      </c>
    </row>
    <row r="19">
      <c r="A19" s="4" t="inlineStr">
        <is>
          <t>ผนังใน_นั่งเล่น|เก็บของ</t>
        </is>
      </c>
      <c r="B19" s="16" t="n">
        <v>2</v>
      </c>
      <c r="C19" s="16" t="n">
        <v>3</v>
      </c>
      <c r="D19" s="17" t="n">
        <v>0.12</v>
      </c>
      <c r="E19" s="18">
        <f>B19*C19</f>
        <v/>
      </c>
      <c r="F19" s="16" t="n">
        <v>0</v>
      </c>
      <c r="G19" s="18">
        <f>E19-F19</f>
        <v/>
      </c>
      <c r="H19" s="19">
        <f>G19*ข้อสมมติ!$B$4</f>
        <v/>
      </c>
    </row>
    <row r="20">
      <c r="A20" s="4" t="inlineStr">
        <is>
          <t>ผนังใน_น้ำ1|น้ำ2</t>
        </is>
      </c>
      <c r="B20" s="16" t="n">
        <v>2.94</v>
      </c>
      <c r="C20" s="16" t="n">
        <v>3</v>
      </c>
      <c r="D20" s="17" t="n">
        <v>0.12</v>
      </c>
      <c r="E20" s="18">
        <f>B20*C20</f>
        <v/>
      </c>
      <c r="F20" s="16" t="n">
        <v>0</v>
      </c>
      <c r="G20" s="18">
        <f>E20-F20</f>
        <v/>
      </c>
      <c r="H20" s="19">
        <f>G20*ข้อสมมติ!$B$4</f>
        <v/>
      </c>
    </row>
    <row r="21">
      <c r="A21" s="4" t="inlineStr">
        <is>
          <t>ผนังใน_น้ำ2|นอน2</t>
        </is>
      </c>
      <c r="B21" s="16" t="n">
        <v>2.94</v>
      </c>
      <c r="C21" s="16" t="n">
        <v>3</v>
      </c>
      <c r="D21" s="17" t="n">
        <v>0.12</v>
      </c>
      <c r="E21" s="18">
        <f>B21*C21</f>
        <v/>
      </c>
      <c r="F21" s="16" t="n">
        <v>1.89</v>
      </c>
      <c r="G21" s="18">
        <f>E21-F21</f>
        <v/>
      </c>
      <c r="H21" s="19">
        <f>G21*ข้อสมมติ!$B$4</f>
        <v/>
      </c>
    </row>
    <row r="22">
      <c r="A22" s="4" t="inlineStr">
        <is>
          <t>ผนังใน_ลานหน้าบ้าน|นอน1</t>
        </is>
      </c>
      <c r="B22" s="16" t="n">
        <v>3</v>
      </c>
      <c r="C22" s="16" t="n">
        <v>3</v>
      </c>
      <c r="D22" s="17" t="n">
        <v>0.12</v>
      </c>
      <c r="E22" s="18">
        <f>B22*C22</f>
        <v/>
      </c>
      <c r="F22" s="16" t="n">
        <v>0</v>
      </c>
      <c r="G22" s="18">
        <f>E22-F22</f>
        <v/>
      </c>
      <c r="H22" s="19">
        <f>G22*ข้อสมมติ!$B$4</f>
        <v/>
      </c>
    </row>
    <row r="23">
      <c r="A23" s="4" t="inlineStr">
        <is>
          <t>ผนังใน_ลานหน้าบ้าน|นั่งเล่น</t>
        </is>
      </c>
      <c r="B23" s="16" t="n">
        <v>7.94</v>
      </c>
      <c r="C23" s="16" t="n">
        <v>3</v>
      </c>
      <c r="D23" s="17" t="n">
        <v>0.12</v>
      </c>
      <c r="E23" s="18">
        <f>B23*C23</f>
        <v/>
      </c>
      <c r="F23" s="16" t="n">
        <v>8</v>
      </c>
      <c r="G23" s="18">
        <f>E23-F23</f>
        <v/>
      </c>
      <c r="H23" s="19">
        <f>G23*ข้อสมมติ!$B$4</f>
        <v/>
      </c>
    </row>
    <row r="24">
      <c r="A24" s="4" t="inlineStr">
        <is>
          <t>ผนังใน_เก็บของ|นั่งเล่น</t>
        </is>
      </c>
      <c r="B24" s="16" t="n">
        <v>1.85</v>
      </c>
      <c r="C24" s="16" t="n">
        <v>3</v>
      </c>
      <c r="D24" s="17" t="n">
        <v>0.12</v>
      </c>
      <c r="E24" s="18">
        <f>B24*C24</f>
        <v/>
      </c>
      <c r="F24" s="16" t="n">
        <v>1.4</v>
      </c>
      <c r="G24" s="18">
        <f>E24-F24</f>
        <v/>
      </c>
      <c r="H24" s="19">
        <f>G24*ข้อสมมติ!$B$4</f>
        <v/>
      </c>
    </row>
    <row r="25">
      <c r="A25" s="20" t="inlineStr">
        <is>
          <t>รวม</t>
        </is>
      </c>
      <c r="B25" s="21" t="n"/>
      <c r="C25" s="21" t="n"/>
      <c r="D25" s="21" t="n"/>
      <c r="E25" s="22">
        <f>SUM(E4:E24)</f>
        <v/>
      </c>
      <c r="F25" s="22">
        <f>SUM(F4:F24)</f>
        <v/>
      </c>
      <c r="G25" s="22">
        <f>SUM(G4:G24)</f>
        <v/>
      </c>
      <c r="H25" s="23">
        <f>SUM(H4:H24)</f>
        <v/>
      </c>
    </row>
    <row r="26">
      <c r="A26" s="20" t="inlineStr">
        <is>
          <t>รวมเผื่อเสีย</t>
        </is>
      </c>
      <c r="B26" s="21" t="n"/>
      <c r="C26" s="21" t="n"/>
      <c r="D26" s="21" t="n"/>
      <c r="E26" s="21" t="n"/>
      <c r="F26" s="21" t="n"/>
      <c r="G26" s="21" t="n"/>
      <c r="H26" s="23">
        <f>ROUNDUP(H25*(1+ข้อสมมติ!$B$5),0)</f>
        <v/>
      </c>
      <c r="J26" s="83">
        <f>H26*6.5</f>
        <v/>
      </c>
    </row>
    <row r="28">
      <c r="A28" s="2" t="inlineStr">
        <is>
          <t>ช่องเปิดวัดจากกรอบนอกของประตูและหน้าต่างที่ติดกับผนังนั้น ความยาวผนังวัดจากกรอบ (อาจนับซ้อนที่มุม)</t>
        </is>
      </c>
    </row>
    <row r="31" ht="16" customHeight="1">
      <c r="A31" s="90" t="inlineStr">
        <is>
          <t>สิ่งที่ต้องซื้อ (จากชีตนี้)</t>
        </is>
      </c>
    </row>
    <row r="32">
      <c r="A32" s="85" t="inlineStr">
        <is>
          <t>รายการที่ต้องซื้อ</t>
        </is>
      </c>
      <c r="B32" s="85" t="inlineStr">
        <is>
          <t>จำนวน</t>
        </is>
      </c>
      <c r="C32" s="85" t="inlineStr">
        <is>
          <t>หน่วย</t>
        </is>
      </c>
      <c r="D32" s="85" t="inlineStr">
        <is>
          <t>หมายเหตุ</t>
        </is>
      </c>
    </row>
    <row r="33">
      <c r="A33" s="86" t="inlineStr">
        <is>
          <t>อิฐบล็อก 7x19x39 ซม. (รวมเผื่อเสีย หลังหักทับหลัง)</t>
        </is>
      </c>
      <c r="B33" s="145">
        <f>'ปูนก่อ-ฉาบ-ทับหลัง'!B57</f>
        <v/>
      </c>
      <c r="C33" s="86" t="inlineStr">
        <is>
          <t>ก้อน</t>
        </is>
      </c>
      <c r="D33" s="89" t="inlineStr">
        <is>
          <t>ดึงจากชีต ปูนก่อ-ฉาบ-ทับหลัง</t>
        </is>
      </c>
    </row>
    <row r="35">
      <c r="A35" s="84" t="inlineStr">
        <is>
          <t>ปูนก่อ/ปูนฉาบ/ทราย ดูรายการซื้อในชีต "ปูนก่อ-ฉาบ-ทับหลัง"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showGridLines="0" topLeftCell="A51" workbookViewId="0">
      <selection activeCell="J59" sqref="J59"/>
    </sheetView>
  </sheetViews>
  <sheetFormatPr baseColWidth="10" defaultColWidth="8.83203125" defaultRowHeight="15"/>
  <cols>
    <col width="58" customWidth="1" min="1" max="1"/>
    <col width="16" customWidth="1" min="2" max="4"/>
    <col width="60" customWidth="1" min="5" max="5"/>
  </cols>
  <sheetData>
    <row r="1" ht="18" customHeight="1">
      <c r="A1" s="59" t="inlineStr">
        <is>
          <t>สรุปปูนก่อ ปูนฉาบ และเอ็นทับหลัง (ผสมเอง)</t>
        </is>
      </c>
    </row>
    <row r="2">
      <c r="A2" s="65" t="inlineStr">
        <is>
          <t>แก้ได้เฉพาะช่องสีน้ำเงินพื้นเหลือง ค่าสมมติทั้งหมดเป็นค่าทั่วไป ไม่ใช่ค่าจากวิศวกร (หน้าตัดทับหลัง เหล็กเสริม สูตรคอนกรีต ต้องให้วิศวกรยืนยัน)</t>
        </is>
      </c>
    </row>
    <row r="4">
      <c r="A4" s="66" t="inlineStr">
        <is>
          <t>ข้อสมมติ</t>
        </is>
      </c>
      <c r="B4" s="66" t="inlineStr">
        <is>
          <t>ค่า</t>
        </is>
      </c>
      <c r="C4" s="66" t="n"/>
      <c r="D4" s="66" t="n"/>
      <c r="E4" s="66" t="inlineStr">
        <is>
          <t>หมายเหตุ</t>
        </is>
      </c>
    </row>
    <row r="5">
      <c r="A5" s="61" t="inlineStr">
        <is>
          <t>ความยาวทับหลังเข้าผนังแต่ละข้าง (ม.)</t>
        </is>
      </c>
      <c r="B5" s="67" t="n">
        <v>0.2</v>
      </c>
      <c r="C5" s="61" t="n"/>
      <c r="D5" s="61" t="n"/>
      <c r="E5" s="61" t="inlineStr">
        <is>
          <t>ค่าทั่วไป 15–20 ซม.</t>
        </is>
      </c>
    </row>
    <row r="6">
      <c r="A6" s="61" t="inlineStr">
        <is>
          <t>ความกว้างทับหลัง (ม.)</t>
        </is>
      </c>
      <c r="B6" s="67" t="n">
        <v>0.12</v>
      </c>
      <c r="C6" s="61" t="n"/>
      <c r="D6" s="61" t="n"/>
      <c r="E6" s="61" t="inlineStr">
        <is>
          <t>เท่าความหนาผนังในโมเดล</t>
        </is>
      </c>
    </row>
    <row r="7">
      <c r="A7" s="61" t="inlineStr">
        <is>
          <t>ความสูงทับหลัง (ม.)</t>
        </is>
      </c>
      <c r="B7" s="67" t="n">
        <v>0.15</v>
      </c>
      <c r="C7" s="61" t="n"/>
      <c r="D7" s="61" t="n"/>
      <c r="E7" s="61" t="inlineStr">
        <is>
          <t>ค่าสมมติ</t>
        </is>
      </c>
    </row>
    <row r="8">
      <c r="A8" s="61" t="inlineStr">
        <is>
          <t>ปูนก่อสุทธิ (ลบ.ม./ตร.ม. ผนัง)</t>
        </is>
      </c>
      <c r="B8" s="68" t="n">
        <v>0.00516</v>
      </c>
      <c r="C8" s="61" t="n"/>
      <c r="D8" s="61" t="n"/>
      <c r="E8" s="61" t="inlineStr">
        <is>
          <t>บล็อก 7x19x39 รอยต่อ 1 ซม. (คำนวณ 5 ชั้น/ม. + 12.5 ก้อน/ตร.ม.)</t>
        </is>
      </c>
    </row>
    <row r="9">
      <c r="A9" s="61" t="inlineStr">
        <is>
          <t>เผื่อสูญเสียปูนก่อ</t>
        </is>
      </c>
      <c r="B9" s="67" t="n">
        <v>1.25</v>
      </c>
      <c r="C9" s="61" t="n"/>
      <c r="D9" s="61" t="n"/>
      <c r="E9" s="61" t="inlineStr">
        <is>
          <t>x1.25</t>
        </is>
      </c>
    </row>
    <row r="10">
      <c r="A10" s="61" t="inlineStr">
        <is>
          <t>ความหนาปูนฉาบ (ม.)</t>
        </is>
      </c>
      <c r="B10" s="69" t="n">
        <v>0.015</v>
      </c>
      <c r="C10" s="61" t="n"/>
      <c r="D10" s="61" t="n"/>
      <c r="E10" s="61" t="inlineStr">
        <is>
          <t>ฉาบ 1.5 ซม. ต่อด้าน</t>
        </is>
      </c>
    </row>
    <row r="11">
      <c r="A11" s="61" t="inlineStr">
        <is>
          <t>เผื่อผิวไม่เรียบ/สูญเสียปูนฉาบ</t>
        </is>
      </c>
      <c r="B11" s="67" t="n">
        <v>1.2</v>
      </c>
      <c r="C11" s="61" t="n"/>
      <c r="D11" s="61" t="n"/>
      <c r="E11" s="61" t="inlineStr">
        <is>
          <t>x1.20</t>
        </is>
      </c>
    </row>
    <row r="12">
      <c r="A12" s="61" t="inlineStr">
        <is>
          <t>ส่วนผสมแห้ง ÷ ปูนผสมแล้ว (ปูนก่อ/ฉาบ)</t>
        </is>
      </c>
      <c r="B12" s="67" t="n">
        <v>1.3</v>
      </c>
      <c r="C12" s="61" t="n"/>
      <c r="D12" s="61" t="n"/>
      <c r="E12" s="61" t="inlineStr">
        <is>
          <t>ปริมาตรทราย+ปูนแห้ง ต่อปูนผสมแล้ว 1 ลบ.ม.</t>
        </is>
      </c>
    </row>
    <row r="13">
      <c r="A13" s="61" t="inlineStr">
        <is>
          <t>ส่วนผสมแห้ง ÷ คอนกรีต (1:2:4)</t>
        </is>
      </c>
      <c r="B13" s="67" t="n">
        <v>1.54</v>
      </c>
      <c r="C13" s="61" t="n"/>
      <c r="D13" s="61" t="n"/>
      <c r="E13" s="61" t="inlineStr">
        <is>
          <t>ค่าทั่วไป 1.50–1.57</t>
        </is>
      </c>
    </row>
    <row r="14">
      <c r="A14" s="61" t="inlineStr">
        <is>
          <t>ความหนาแน่นปูนซีเมนต์ (กก./ลบ.ม.)</t>
        </is>
      </c>
      <c r="B14" s="70" t="n">
        <v>1440</v>
      </c>
      <c r="C14" s="61" t="n"/>
      <c r="D14" s="61" t="n"/>
      <c r="E14" s="61" t="n"/>
    </row>
    <row r="15">
      <c r="A15" s="61" t="inlineStr">
        <is>
          <t>น้ำหนักปูนซีเมนต์ต่อถุง (กก.)</t>
        </is>
      </c>
      <c r="B15" s="71" t="n">
        <v>50</v>
      </c>
      <c r="C15" s="61" t="n"/>
      <c r="D15" s="61" t="n"/>
      <c r="E15" s="61" t="n"/>
    </row>
    <row r="16">
      <c r="A16" s="61" t="inlineStr">
        <is>
          <t>ปูนก่อ: ส่วนปูนซีเมนต์</t>
        </is>
      </c>
      <c r="B16" s="71" t="n">
        <v>1</v>
      </c>
      <c r="C16" s="61" t="n"/>
      <c r="D16" s="61" t="n"/>
      <c r="E16" s="61" t="inlineStr">
        <is>
          <t>1 : 3</t>
        </is>
      </c>
    </row>
    <row r="17">
      <c r="A17" s="61" t="inlineStr">
        <is>
          <t>ปูนก่อ: ส่วนทราย</t>
        </is>
      </c>
      <c r="B17" s="71" t="n">
        <v>3</v>
      </c>
      <c r="C17" s="61" t="n"/>
      <c r="D17" s="61" t="n"/>
      <c r="E17" s="61" t="n"/>
    </row>
    <row r="18">
      <c r="A18" s="61" t="inlineStr">
        <is>
          <t>ปูนฉาบ: ส่วนปูนซีเมนต์</t>
        </is>
      </c>
      <c r="B18" s="71" t="n">
        <v>1</v>
      </c>
      <c r="C18" s="61" t="n"/>
      <c r="D18" s="61" t="n"/>
      <c r="E18" s="61" t="inlineStr">
        <is>
          <t>1 : 3 (ถ้า 1 : 4 ให้ใส่ทราย 4)</t>
        </is>
      </c>
    </row>
    <row r="19">
      <c r="A19" s="61" t="inlineStr">
        <is>
          <t>ปูนฉาบ: ส่วนทราย</t>
        </is>
      </c>
      <c r="B19" s="71" t="n">
        <v>3</v>
      </c>
      <c r="C19" s="61" t="n"/>
      <c r="D19" s="61" t="n"/>
      <c r="E19" s="61" t="n"/>
    </row>
    <row r="20">
      <c r="A20" s="61" t="inlineStr">
        <is>
          <t>คอนกรีตทับหลัง: ซีเมนต์ : ทราย : หิน</t>
        </is>
      </c>
      <c r="B20" s="72" t="n"/>
      <c r="C20" s="61" t="n"/>
      <c r="D20" s="61" t="n"/>
      <c r="E20" s="61" t="inlineStr">
        <is>
          <t>1 : 2 : 4 (ใส่ในสูตรด้านล่าง)</t>
        </is>
      </c>
    </row>
    <row r="21">
      <c r="A21" s="61" t="inlineStr">
        <is>
          <t>เผื่อสั่งซื้อ (ปูน ทราย หิน)</t>
        </is>
      </c>
      <c r="B21" s="73" t="n">
        <v>0.05</v>
      </c>
      <c r="C21" s="61" t="n"/>
      <c r="D21" s="61" t="n"/>
      <c r="E21" s="61" t="n"/>
    </row>
    <row r="23">
      <c r="A23" s="66" t="inlineStr">
        <is>
          <t>ช่องเปิด (รหัสตามพิมพ์เขียว A-09)</t>
        </is>
      </c>
      <c r="B23" s="66" t="inlineStr">
        <is>
          <t>กว้างช่องเปิด (ม.)</t>
        </is>
      </c>
      <c r="C23" s="66" t="inlineStr">
        <is>
          <t>ความยาวทับหลัง (ม.)</t>
        </is>
      </c>
      <c r="D23" s="66" t="n"/>
      <c r="E23" s="66" t="n"/>
    </row>
    <row r="24">
      <c r="A24" s="61" t="inlineStr">
        <is>
          <t>D1 ประตูห้องน้ำ 2 ↔ ห้องนอน 2</t>
        </is>
      </c>
      <c r="B24" s="62" t="n">
        <v>0.9</v>
      </c>
      <c r="C24" s="74">
        <f>B24+2*$B$5</f>
        <v/>
      </c>
      <c r="D24" s="61" t="n"/>
      <c r="E24" s="61" t="n"/>
    </row>
    <row r="25">
      <c r="A25" s="61" t="inlineStr">
        <is>
          <t>D2 ประตูห้องนอน 1 ↔ ห้องน้ำ 1</t>
        </is>
      </c>
      <c r="B25" s="62" t="n">
        <v>0.7</v>
      </c>
      <c r="C25" s="74">
        <f>B25+2*$B$5</f>
        <v/>
      </c>
      <c r="D25" s="61" t="n"/>
      <c r="E25" s="61" t="n"/>
    </row>
    <row r="26">
      <c r="A26" s="61" t="inlineStr">
        <is>
          <t>D3 ประตูห้องนั่งเล่น ↔ ห้องน้ำ 2</t>
        </is>
      </c>
      <c r="B26" s="62" t="n">
        <v>0.7</v>
      </c>
      <c r="C26" s="74">
        <f>B26+2*$B$5</f>
        <v/>
      </c>
      <c r="D26" s="61" t="n"/>
      <c r="E26" s="61" t="n"/>
    </row>
    <row r="27">
      <c r="A27" s="61" t="inlineStr">
        <is>
          <t>D4 ประตูห้องนอน 1 ↔ ห้องนั่งเล่น</t>
        </is>
      </c>
      <c r="B27" s="62" t="n">
        <v>0.8</v>
      </c>
      <c r="C27" s="74">
        <f>B27+2*$B$5</f>
        <v/>
      </c>
      <c r="D27" s="61" t="n"/>
      <c r="E27" s="61" t="n"/>
    </row>
    <row r="28">
      <c r="A28" s="61" t="inlineStr">
        <is>
          <t>D5 ประตูห้องนั่งเล่น ↔ ห้องนอน 2</t>
        </is>
      </c>
      <c r="B28" s="62" t="n">
        <v>0.8</v>
      </c>
      <c r="C28" s="74">
        <f>B28+2*$B$5</f>
        <v/>
      </c>
      <c r="D28" s="61" t="n"/>
      <c r="E28" s="61" t="n"/>
    </row>
    <row r="29">
      <c r="A29" s="61" t="inlineStr">
        <is>
          <t>D6 ประตูหลังบ้าน</t>
        </is>
      </c>
      <c r="B29" s="62" t="n">
        <v>0.8</v>
      </c>
      <c r="C29" s="74">
        <f>B29+2*$B$5</f>
        <v/>
      </c>
      <c r="D29" s="61" t="n"/>
      <c r="E29" s="61" t="n"/>
    </row>
    <row r="30">
      <c r="A30" s="61" t="inlineStr">
        <is>
          <t>D7 ประตูหลักคู่</t>
        </is>
      </c>
      <c r="B30" s="62" t="n">
        <v>2</v>
      </c>
      <c r="C30" s="74">
        <f>B30+2*$B$5</f>
        <v/>
      </c>
      <c r="D30" s="61" t="n"/>
      <c r="E30" s="61" t="n"/>
    </row>
    <row r="31">
      <c r="A31" s="61" t="inlineStr">
        <is>
          <t>D8 ประตูห้องเก็บของ</t>
        </is>
      </c>
      <c r="B31" s="62" t="n">
        <v>0.7</v>
      </c>
      <c r="C31" s="74">
        <f>B31+2*$B$5</f>
        <v/>
      </c>
      <c r="D31" s="61" t="n"/>
      <c r="E31" s="61" t="n"/>
    </row>
    <row r="32">
      <c r="A32" s="61" t="inlineStr">
        <is>
          <t>W1 หน้าต่างนอน 1 เหนือ</t>
        </is>
      </c>
      <c r="B32" s="62" t="n">
        <v>0.5</v>
      </c>
      <c r="C32" s="74">
        <f>B32+2*$B$5</f>
        <v/>
      </c>
      <c r="D32" s="61" t="n"/>
      <c r="E32" s="61" t="n"/>
    </row>
    <row r="33">
      <c r="A33" s="61" t="inlineStr">
        <is>
          <t>W2 หน้าต่างนอน 1 เหนือ</t>
        </is>
      </c>
      <c r="B33" s="62" t="n">
        <v>0.5</v>
      </c>
      <c r="C33" s="74">
        <f>B33+2*$B$5</f>
        <v/>
      </c>
      <c r="D33" s="61" t="n"/>
      <c r="E33" s="61" t="n"/>
    </row>
    <row r="34">
      <c r="A34" s="61" t="inlineStr">
        <is>
          <t>W3 หน้าต่างน้ำ 1 เหนือ</t>
        </is>
      </c>
      <c r="B34" s="62" t="n">
        <v>0.8</v>
      </c>
      <c r="C34" s="74">
        <f>B34+2*$B$5</f>
        <v/>
      </c>
      <c r="D34" s="61" t="n"/>
      <c r="E34" s="61" t="n"/>
    </row>
    <row r="35">
      <c r="A35" s="61" t="inlineStr">
        <is>
          <t>W4 หน้าต่างน้ำ 2 เหนือ</t>
        </is>
      </c>
      <c r="B35" s="62" t="n">
        <v>0.8</v>
      </c>
      <c r="C35" s="74">
        <f>B35+2*$B$5</f>
        <v/>
      </c>
      <c r="D35" s="61" t="n"/>
      <c r="E35" s="61" t="n"/>
    </row>
    <row r="36">
      <c r="A36" s="61" t="inlineStr">
        <is>
          <t>W5 หน้าต่างนอน 2 เหนือ</t>
        </is>
      </c>
      <c r="B36" s="62" t="n">
        <v>0.5</v>
      </c>
      <c r="C36" s="74">
        <f>B36+2*$B$5</f>
        <v/>
      </c>
      <c r="D36" s="61" t="n"/>
      <c r="E36" s="61" t="n"/>
    </row>
    <row r="37">
      <c r="A37" s="61" t="inlineStr">
        <is>
          <t>W6 หน้าต่างนอน 2 เหนือ</t>
        </is>
      </c>
      <c r="B37" s="62" t="n">
        <v>0.5</v>
      </c>
      <c r="C37" s="74">
        <f>B37+2*$B$5</f>
        <v/>
      </c>
      <c r="D37" s="61" t="n"/>
      <c r="E37" s="61" t="n"/>
    </row>
    <row r="38">
      <c r="A38" s="61" t="inlineStr">
        <is>
          <t>W7 หน้าต่างนอน 1 ตะวันตก</t>
        </is>
      </c>
      <c r="B38" s="62" t="n">
        <v>2</v>
      </c>
      <c r="C38" s="74">
        <f>B38+2*$B$5</f>
        <v/>
      </c>
      <c r="D38" s="61" t="n"/>
      <c r="E38" s="61" t="n"/>
    </row>
    <row r="39">
      <c r="A39" s="61" t="inlineStr">
        <is>
          <t>W8 หน้าต่างนอน 2 ตะวันออก</t>
        </is>
      </c>
      <c r="B39" s="62" t="n">
        <v>2</v>
      </c>
      <c r="C39" s="74">
        <f>B39+2*$B$5</f>
        <v/>
      </c>
      <c r="D39" s="61" t="n"/>
      <c r="E39" s="61" t="n"/>
    </row>
    <row r="40">
      <c r="A40" s="61" t="inlineStr">
        <is>
          <t>W9 หน้าต่างนอน 1 ใต้</t>
        </is>
      </c>
      <c r="B40" s="62" t="n">
        <v>0.5</v>
      </c>
      <c r="C40" s="74">
        <f>B40+2*$B$5</f>
        <v/>
      </c>
      <c r="D40" s="61" t="n"/>
      <c r="E40" s="61" t="n"/>
    </row>
    <row r="41">
      <c r="A41" s="61" t="inlineStr">
        <is>
          <t>W10 หน้าต่างนั่งเล่น ตะวันออก</t>
        </is>
      </c>
      <c r="B41" s="62" t="n">
        <v>1.2</v>
      </c>
      <c r="C41" s="74">
        <f>B41+2*$B$5</f>
        <v/>
      </c>
      <c r="D41" s="61" t="n"/>
      <c r="E41" s="61" t="n"/>
    </row>
    <row r="42">
      <c r="A42" s="61" t="inlineStr">
        <is>
          <t>W11 หน้าต่างเก็บของ ตะวันออก</t>
        </is>
      </c>
      <c r="B42" s="62" t="n">
        <v>0.8</v>
      </c>
      <c r="C42" s="74">
        <f>B42+2*$B$5</f>
        <v/>
      </c>
      <c r="D42" s="61" t="n"/>
      <c r="E42" s="61" t="n"/>
    </row>
    <row r="43">
      <c r="A43" s="61" t="inlineStr">
        <is>
          <t>W12 หน้าต่างลานหน้าบ้าน ↔ นั่งเล่น</t>
        </is>
      </c>
      <c r="B43" s="62" t="n">
        <v>2</v>
      </c>
      <c r="C43" s="74">
        <f>B43+2*$B$5</f>
        <v/>
      </c>
      <c r="D43" s="61" t="n"/>
      <c r="E43" s="61" t="n"/>
    </row>
    <row r="44">
      <c r="A44" s="61" t="inlineStr">
        <is>
          <t>W13 หน้าต่างนั่งเล่น ตะวันออก</t>
        </is>
      </c>
      <c r="B44" s="62" t="n">
        <v>2</v>
      </c>
      <c r="C44" s="74">
        <f>B44+2*$B$5</f>
        <v/>
      </c>
      <c r="D44" s="61" t="n"/>
      <c r="E44" s="61" t="n"/>
    </row>
    <row r="45">
      <c r="A45" s="61" t="inlineStr">
        <is>
          <t>W14 หน้าต่างเก็บของ ใต้</t>
        </is>
      </c>
      <c r="B45" s="62" t="n">
        <v>0.8</v>
      </c>
      <c r="C45" s="74">
        <f>B45+2*$B$5</f>
        <v/>
      </c>
      <c r="D45" s="61" t="n"/>
      <c r="E45" s="61" t="n"/>
    </row>
    <row r="46">
      <c r="A46" s="61" t="inlineStr">
        <is>
          <t>W15 หน้าต่างนั่งเล่น ใต้</t>
        </is>
      </c>
      <c r="B46" s="62" t="n">
        <v>0.5</v>
      </c>
      <c r="C46" s="74">
        <f>B46+2*$B$5</f>
        <v/>
      </c>
      <c r="D46" s="61" t="n"/>
      <c r="E46" s="61" t="n"/>
    </row>
    <row r="47">
      <c r="A47" s="61" t="inlineStr">
        <is>
          <t>W16 หน้าต่างนั่งเล่น ใต้</t>
        </is>
      </c>
      <c r="B47" s="62" t="n">
        <v>0.5</v>
      </c>
      <c r="C47" s="74">
        <f>B47+2*$B$5</f>
        <v/>
      </c>
      <c r="D47" s="61" t="n"/>
      <c r="E47" s="61" t="n"/>
    </row>
    <row r="48">
      <c r="A48" s="63" t="inlineStr">
        <is>
          <t>รวมช่องเปิด / ความยาวทับหลัง</t>
        </is>
      </c>
      <c r="B48" s="64">
        <f>SUM(B24:B47)</f>
        <v/>
      </c>
      <c r="C48" s="64">
        <f>SUM(C24:C47)</f>
        <v/>
      </c>
      <c r="D48" s="75" t="n"/>
      <c r="E48" s="63">
        <f>COUNTA(A24:A47)&amp;" ช่อง"</f>
        <v/>
      </c>
    </row>
    <row r="50">
      <c r="A50" s="66" t="inlineStr">
        <is>
          <t>ปริมาณงาน</t>
        </is>
      </c>
      <c r="B50" s="66" t="inlineStr">
        <is>
          <t>ค่า</t>
        </is>
      </c>
      <c r="C50" s="66" t="inlineStr">
        <is>
          <t>หน่วย</t>
        </is>
      </c>
      <c r="D50" s="66" t="n"/>
      <c r="E50" s="66" t="inlineStr">
        <is>
          <t>หมายเหตุ</t>
        </is>
      </c>
    </row>
    <row r="51">
      <c r="A51" s="61" t="inlineStr">
        <is>
          <t>ความยาวทับหลังรวม</t>
        </is>
      </c>
      <c r="B51" s="76">
        <f>C48</f>
        <v/>
      </c>
      <c r="C51" s="61" t="inlineStr">
        <is>
          <t>ม.</t>
        </is>
      </c>
      <c r="D51" s="61" t="n"/>
      <c r="E51" s="61" t="n"/>
    </row>
    <row r="52">
      <c r="A52" s="61" t="inlineStr">
        <is>
          <t>คอนกรีตทับหลัง (ก่อนเผื่อ)</t>
        </is>
      </c>
      <c r="B52" s="77">
        <f>B51*B6*B7</f>
        <v/>
      </c>
      <c r="C52" s="61" t="inlineStr">
        <is>
          <t>ลบ.ม.</t>
        </is>
      </c>
      <c r="D52" s="61" t="n"/>
      <c r="E52" s="61" t="inlineStr">
        <is>
          <t>ยาว x กว้าง x สูง</t>
        </is>
      </c>
    </row>
    <row r="53">
      <c r="A53" s="61" t="inlineStr">
        <is>
          <t>คอนกรีตทับหลัง (เผื่อสั่งซื้อ)</t>
        </is>
      </c>
      <c r="B53" s="77">
        <f>B52*(1+B21)</f>
        <v/>
      </c>
      <c r="C53" s="61" t="inlineStr">
        <is>
          <t>ลบ.ม.</t>
        </is>
      </c>
      <c r="D53" s="61" t="n"/>
      <c r="E53" s="61" t="n"/>
    </row>
    <row r="54">
      <c r="A54" s="61" t="inlineStr">
        <is>
          <t>พื้นที่ผิวหน้าทับหลังที่แทนอิฐ</t>
        </is>
      </c>
      <c r="B54" s="74">
        <f>B51*B7</f>
        <v/>
      </c>
      <c r="C54" s="61" t="inlineStr">
        <is>
          <t>ตร.ม.</t>
        </is>
      </c>
      <c r="D54" s="61" t="n"/>
      <c r="E54" s="61" t="n"/>
    </row>
    <row r="55">
      <c r="A55" s="61" t="inlineStr">
        <is>
          <t>พื้นที่ผนังก่อสุทธิ (BOQ ผนังก่ออิฐ)</t>
        </is>
      </c>
      <c r="B55" s="74">
        <f>ผนังก่ออิฐ!G25</f>
        <v/>
      </c>
      <c r="C55" s="61" t="inlineStr">
        <is>
          <t>ตร.ม.</t>
        </is>
      </c>
      <c r="D55" s="61" t="n"/>
      <c r="E55" s="61" t="inlineStr">
        <is>
          <t>หักช่องเปิดแล้ว</t>
        </is>
      </c>
    </row>
    <row r="56">
      <c r="A56" s="61" t="inlineStr">
        <is>
          <t>พื้นที่ก่ออิฐหลังหักทับหลัง</t>
        </is>
      </c>
      <c r="B56" s="74">
        <f>B55-B54</f>
        <v/>
      </c>
      <c r="C56" s="61" t="inlineStr">
        <is>
          <t>ตร.ม.</t>
        </is>
      </c>
      <c r="D56" s="61" t="n"/>
      <c r="E56" s="61" t="n"/>
    </row>
    <row r="57">
      <c r="A57" s="61" t="inlineStr">
        <is>
          <t>อิฐบล็อก 7x19x39 (รวมเผื่อเสีย)</t>
        </is>
      </c>
      <c r="B57" s="78">
        <f>ROUNDUP(B56*ข้อสมมติ!$B$4*(1+ข้อสมมติ!$B$5),0)</f>
        <v/>
      </c>
      <c r="C57" s="61" t="inlineStr">
        <is>
          <t>ก้อน</t>
        </is>
      </c>
      <c r="D57" s="61" t="n"/>
      <c r="E57" s="61" t="inlineStr">
        <is>
          <t>ใช้ค่าก้อน/ตร.ม. และเผื่อเสียจากชีต ข้อสมมติ</t>
        </is>
      </c>
    </row>
    <row r="58">
      <c r="A58" s="61" t="inlineStr">
        <is>
          <t>ปูนก่อ (ปูนผสมแล้ว)</t>
        </is>
      </c>
      <c r="B58" s="74">
        <f>B56*B8*B9</f>
        <v/>
      </c>
      <c r="C58" s="61" t="inlineStr">
        <is>
          <t>ลบ.ม.</t>
        </is>
      </c>
      <c r="D58" s="61" t="n"/>
      <c r="E58" s="61" t="n"/>
    </row>
    <row r="59">
      <c r="A59" s="61" t="inlineStr">
        <is>
          <t>พื้นที่ฉาบ 2 ด้าน</t>
        </is>
      </c>
      <c r="B59" s="76">
        <f>2*B55</f>
        <v/>
      </c>
      <c r="C59" s="61" t="inlineStr">
        <is>
          <t>ตร.ม.</t>
        </is>
      </c>
      <c r="D59" s="61" t="n"/>
      <c r="E59" s="61" t="inlineStr">
        <is>
          <t>ไม่หักทับหลัง</t>
        </is>
      </c>
    </row>
    <row r="60">
      <c r="A60" s="61" t="inlineStr">
        <is>
          <t>ปูนฉาบ (ปูนผสมแล้ว)</t>
        </is>
      </c>
      <c r="B60" s="74">
        <f>B59*B10*B11</f>
        <v/>
      </c>
      <c r="C60" s="61" t="inlineStr">
        <is>
          <t>ลบ.ม.</t>
        </is>
      </c>
      <c r="D60" s="61" t="n"/>
      <c r="E60" s="61" t="n"/>
    </row>
    <row r="61">
      <c r="A61" s="61" t="inlineStr">
        <is>
          <t>ปูนก่อ: ปูนซีเมนต์</t>
        </is>
      </c>
      <c r="B61" s="76">
        <f>B58*B12*B16/(B16+B17)*B14/B15</f>
        <v/>
      </c>
      <c r="C61" s="61" t="inlineStr">
        <is>
          <t>ถุง</t>
        </is>
      </c>
      <c r="D61" s="61" t="n"/>
      <c r="E61" s="61" t="n"/>
    </row>
    <row r="62">
      <c r="A62" s="61" t="inlineStr">
        <is>
          <t>ปูนก่อ: ทราย</t>
        </is>
      </c>
      <c r="B62" s="74">
        <f>B58*B12*B17/(B16+B17)</f>
        <v/>
      </c>
      <c r="C62" s="61" t="inlineStr">
        <is>
          <t>ลบ.ม.</t>
        </is>
      </c>
      <c r="D62" s="61" t="n"/>
      <c r="E62" s="61" t="n"/>
    </row>
    <row r="63">
      <c r="A63" s="61" t="inlineStr">
        <is>
          <t>ปูนฉาบ: ปูนซีเมนต์</t>
        </is>
      </c>
      <c r="B63" s="76">
        <f>B60*B12*B18/(B18+B19)*B14/B15</f>
        <v/>
      </c>
      <c r="C63" s="61" t="inlineStr">
        <is>
          <t>ถุง</t>
        </is>
      </c>
      <c r="D63" s="61" t="n"/>
      <c r="E63" s="61" t="n"/>
    </row>
    <row r="64">
      <c r="A64" s="61" t="inlineStr">
        <is>
          <t>ปูนฉาบ: ทราย</t>
        </is>
      </c>
      <c r="B64" s="74">
        <f>B60*B12*B19/(B18+B19)</f>
        <v/>
      </c>
      <c r="C64" s="61" t="inlineStr">
        <is>
          <t>ลบ.ม.</t>
        </is>
      </c>
      <c r="D64" s="61" t="n"/>
      <c r="E64" s="61" t="n"/>
    </row>
    <row r="65">
      <c r="A65" s="61" t="inlineStr">
        <is>
          <t>คอนกรีตทับหลัง: ปูนซีเมนต์ (1:2:4)</t>
        </is>
      </c>
      <c r="B65" s="76">
        <f>B53*B13*(1/7)*B14/B15</f>
        <v/>
      </c>
      <c r="C65" s="61" t="inlineStr">
        <is>
          <t>ถุง</t>
        </is>
      </c>
      <c r="D65" s="61" t="n"/>
      <c r="E65" s="61" t="n"/>
    </row>
    <row r="66">
      <c r="A66" s="61" t="inlineStr">
        <is>
          <t>คอนกรีตทับหลัง: ทราย</t>
        </is>
      </c>
      <c r="B66" s="74">
        <f>B53*B13*(2/7)</f>
        <v/>
      </c>
      <c r="C66" s="61" t="inlineStr">
        <is>
          <t>ลบ.ม.</t>
        </is>
      </c>
      <c r="D66" s="61" t="n"/>
      <c r="E66" s="61" t="n"/>
    </row>
    <row r="67">
      <c r="A67" s="61" t="inlineStr">
        <is>
          <t>คอนกรีตทับหลัง: หิน</t>
        </is>
      </c>
      <c r="B67" s="74">
        <f>B53*B13*(4/7)</f>
        <v/>
      </c>
      <c r="C67" s="61" t="inlineStr">
        <is>
          <t>ลบ.ม.</t>
        </is>
      </c>
      <c r="D67" s="61" t="n"/>
      <c r="E67" s="61" t="n"/>
    </row>
    <row r="69">
      <c r="A69" s="66" t="inlineStr">
        <is>
          <t>รวมวัสดุที่ต้องซื้อ</t>
        </is>
      </c>
      <c r="B69" s="66" t="inlineStr">
        <is>
          <t>ก่อนเผื่อ</t>
        </is>
      </c>
      <c r="C69" s="66" t="inlineStr">
        <is>
          <t>เผื่อสั่งซื้อ</t>
        </is>
      </c>
      <c r="D69" s="66" t="inlineStr">
        <is>
          <t>หน่วย</t>
        </is>
      </c>
      <c r="E69" s="66" t="inlineStr">
        <is>
          <t>หมายเหตุ</t>
        </is>
      </c>
    </row>
    <row r="70">
      <c r="A70" s="79" t="inlineStr">
        <is>
          <t>ปูนซีเมนต์ (ถุง 50 กก.)</t>
        </is>
      </c>
      <c r="B70" s="80">
        <f>B61+B63+B65</f>
        <v/>
      </c>
      <c r="C70" s="81">
        <f>ROUNDUP(B70*(1+$B$21),0)</f>
        <v/>
      </c>
      <c r="D70" s="61" t="inlineStr">
        <is>
          <t>ถุง</t>
        </is>
      </c>
      <c r="E70" s="61" t="n"/>
      <c r="F70" t="n">
        <v>120</v>
      </c>
      <c r="G70">
        <f>F70*C70</f>
        <v/>
      </c>
    </row>
    <row r="71">
      <c r="A71" s="79" t="inlineStr">
        <is>
          <t>ทราย</t>
        </is>
      </c>
      <c r="B71" s="74">
        <f>B62+B64+B66</f>
        <v/>
      </c>
      <c r="C71" s="82">
        <f>ROUND(B71*(1+$B$21),1)</f>
        <v/>
      </c>
      <c r="D71" s="61" t="inlineStr">
        <is>
          <t>ลบ.ม. (คิว)</t>
        </is>
      </c>
      <c r="E71" s="61" t="n"/>
      <c r="F71" t="n">
        <v>590</v>
      </c>
      <c r="G71">
        <f>F71*C71</f>
        <v/>
      </c>
    </row>
    <row r="72">
      <c r="A72" s="79" t="inlineStr">
        <is>
          <t>หินย่อย</t>
        </is>
      </c>
      <c r="B72" s="74">
        <f>B67</f>
        <v/>
      </c>
      <c r="C72" s="82">
        <f>ROUND(B72*(1+$B$21),1)</f>
        <v/>
      </c>
      <c r="D72" s="61" t="inlineStr">
        <is>
          <t>ลบ.ม. (คิว)</t>
        </is>
      </c>
      <c r="E72" s="61" t="n"/>
      <c r="F72" t="n">
        <v>800</v>
      </c>
      <c r="G72">
        <f>F72*C72</f>
        <v/>
      </c>
    </row>
    <row r="74">
      <c r="A74" s="65" t="inlineStr">
        <is>
          <t>ยังไม่รวม: เสาเอ็น/คานเอ็นรัดผนัง ผนังจั่วใต้หลังคา ช่องเปิดด้านข้างวงกบ ปูนกาว/ยาแนวกระเบื้อง และคอนกรีตพื้น เสา คาน</t>
        </is>
      </c>
      <c r="G74">
        <f>SUM(G70:G73)</f>
        <v/>
      </c>
    </row>
    <row r="75">
      <c r="A75" s="65" t="inlineStr">
        <is>
          <t>เหล็กเสริมทับหลัง (ประมาณ): เหล็กยืน 4 เส้น/ทับหลัง และปลอก @0.20 ม. ต้องให้วิศวกรกำหนดขนาด จำนวน และระยะ</t>
        </is>
      </c>
    </row>
    <row r="76">
      <c r="A76" s="65" t="inlineStr">
        <is>
          <t>ค่าอัตราปูนคิดตามหลักทั่วไป ช่างแต่ละคนใช้จริงต่างได้ราว ±15%</t>
        </is>
      </c>
    </row>
    <row r="79" ht="16" customHeight="1">
      <c r="A79" s="90" t="inlineStr">
        <is>
          <t>สิ่งที่ต้องซื้อ (จากชีตนี้)</t>
        </is>
      </c>
    </row>
    <row r="80">
      <c r="A80" s="86" t="inlineStr">
        <is>
          <t>เหล็กยืนต่อทับหลัง (เส้น)</t>
        </is>
      </c>
      <c r="B80" s="91" t="n">
        <v>4</v>
      </c>
      <c r="C80" s="86" t="n"/>
      <c r="D80" s="89" t="inlineStr">
        <is>
          <t>ค่าสมมติ ต้องให้วิศวกรยืนยัน</t>
        </is>
      </c>
    </row>
    <row r="81">
      <c r="A81" s="86" t="inlineStr">
        <is>
          <t>ความยาวเหล็กยืนต่อเส้น (ม.)</t>
        </is>
      </c>
      <c r="B81" s="91" t="n">
        <v>12</v>
      </c>
      <c r="C81" s="86" t="n"/>
      <c r="D81" s="89" t="inlineStr">
        <is>
          <t>ท่อนมาตรฐาน</t>
        </is>
      </c>
    </row>
    <row r="82">
      <c r="A82" s="86" t="inlineStr">
        <is>
          <t>ระยะปลอก (ม.)</t>
        </is>
      </c>
      <c r="B82" s="92" t="n">
        <v>0.2</v>
      </c>
      <c r="C82" s="86" t="n"/>
      <c r="D82" s="89" t="n"/>
    </row>
    <row r="83">
      <c r="A83" s="86" t="inlineStr">
        <is>
          <t>ความยาวลวดต่อ 1 ปลอก (ม.)</t>
        </is>
      </c>
      <c r="B83" s="92" t="n">
        <v>0.48</v>
      </c>
      <c r="C83" s="86" t="n"/>
      <c r="D83" s="89" t="inlineStr">
        <is>
          <t>12x15 ซม. หักหุ้ม + ขอ</t>
        </is>
      </c>
    </row>
    <row r="84">
      <c r="A84" s="86" t="inlineStr">
        <is>
          <t>ความยาวเหล็กปลอกต่อเส้น (ม.)</t>
        </is>
      </c>
      <c r="B84" s="91" t="n">
        <v>10</v>
      </c>
      <c r="C84" s="86" t="n"/>
      <c r="D84" s="89" t="n"/>
    </row>
    <row r="85">
      <c r="A85" s="85" t="inlineStr">
        <is>
          <t>รายการที่ต้องซื้อ</t>
        </is>
      </c>
      <c r="B85" s="85" t="inlineStr">
        <is>
          <t>จำนวน</t>
        </is>
      </c>
      <c r="C85" s="85" t="inlineStr">
        <is>
          <t>หน่วย</t>
        </is>
      </c>
      <c r="D85" s="85" t="inlineStr">
        <is>
          <t>หมายเหตุ</t>
        </is>
      </c>
    </row>
    <row r="86">
      <c r="A86" s="86" t="inlineStr">
        <is>
          <t>ปูนซีเมนต์ปอร์ตแลนด์ (ถุง 50 กก.) ก่อ+ฉาบ+ทับหลัง รวมเผื่อ</t>
        </is>
      </c>
      <c r="B86" s="93">
        <f>C70</f>
        <v/>
      </c>
      <c r="C86" s="86" t="inlineStr">
        <is>
          <t>ถุง</t>
        </is>
      </c>
      <c r="D86" s="89" t="n"/>
    </row>
    <row r="87">
      <c r="A87" s="86" t="inlineStr">
        <is>
          <t>ทราย (ก่อ ฉาบ ทับหลัง รวมเผื่อ)</t>
        </is>
      </c>
      <c r="B87" s="94">
        <f>C71</f>
        <v/>
      </c>
      <c r="C87" s="86" t="inlineStr">
        <is>
          <t>ลบ.ม. (คิว)</t>
        </is>
      </c>
      <c r="D87" s="89" t="n"/>
    </row>
    <row r="88">
      <c r="A88" s="86" t="inlineStr">
        <is>
          <t>หินย่อย (คอนกรีตทับหลัง รวมเผื่อ)</t>
        </is>
      </c>
      <c r="B88" s="94">
        <f>C72</f>
        <v/>
      </c>
      <c r="C88" s="86" t="inlineStr">
        <is>
          <t>ลบ.ม. (คิว)</t>
        </is>
      </c>
      <c r="D88" s="89" t="n"/>
    </row>
    <row r="89">
      <c r="A89" s="86" t="inlineStr">
        <is>
          <t>เหล็กเส้นยืนทับหลัง (ขนาดตามวิศวกร) ยาว 12 ม.</t>
        </is>
      </c>
      <c r="B89" s="93">
        <f>ROUNDUP(B51*$B$80*(1+$B$21)/$B$81,0)</f>
        <v/>
      </c>
      <c r="C89" s="86" t="inlineStr">
        <is>
          <t>เส้น</t>
        </is>
      </c>
      <c r="D89" s="89" t="inlineStr">
        <is>
          <t>ค่าสมมติ: 4 เส้นต่อทับหลัง</t>
        </is>
      </c>
    </row>
    <row r="90">
      <c r="A90" s="86" t="inlineStr">
        <is>
          <t>เหล็กปลอก (ขนาดตามวิศวกร) ยาว 10 ม.</t>
        </is>
      </c>
      <c r="B90" s="93">
        <f>ROUNDUP(B51/$B$82*$B$83*(1+$B$21)/$B$84,0)</f>
        <v/>
      </c>
      <c r="C90" s="86" t="inlineStr">
        <is>
          <t>เส้น</t>
        </is>
      </c>
      <c r="D90" s="89" t="inlineStr">
        <is>
          <t>ค่าสมมติ: ปลอก @0.20 ม.</t>
        </is>
      </c>
    </row>
    <row r="91">
      <c r="A91" s="86" t="inlineStr">
        <is>
          <t>ไม้แบบทับหลัง (ใช้ซ้ำได้)</t>
        </is>
      </c>
      <c r="B91" s="94">
        <f>B51*(2*B7+B6)</f>
        <v/>
      </c>
      <c r="C91" s="86" t="inlineStr">
        <is>
          <t>ตร.ม.</t>
        </is>
      </c>
      <c r="D91" s="89" t="n"/>
    </row>
    <row r="93">
      <c r="A93" s="84" t="inlineStr">
        <is>
          <t>เหล็กเสริมและแบบเป็นค่าประมาณ ต้องให้วิศวกรกำหนดขนาด/จำนวน/ระยะก่อนสั่งซื้อ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topLeftCell="A14" workbookViewId="0">
      <selection activeCell="A38" sqref="A38:C44"/>
    </sheetView>
  </sheetViews>
  <sheetFormatPr baseColWidth="10" defaultColWidth="8.83203125" defaultRowHeight="15"/>
  <cols>
    <col width="58" customWidth="1" min="1" max="1"/>
    <col width="14" customWidth="1" min="2" max="4"/>
    <col width="16" customWidth="1" min="5" max="5"/>
  </cols>
  <sheetData>
    <row r="1" ht="18" customHeight="1">
      <c r="A1" s="1" t="inlineStr">
        <is>
          <t>กระเบื้องพื้น ผนังห้องน้ำ และบันได</t>
        </is>
      </c>
    </row>
    <row r="3" ht="32" customHeight="1">
      <c r="A3" s="3" t="inlineStr">
        <is>
          <t>รายการ</t>
        </is>
      </c>
      <c r="B3" s="3" t="inlineStr">
        <is>
          <t>กว้าง (ม.)</t>
        </is>
      </c>
      <c r="C3" s="3" t="inlineStr">
        <is>
          <t>สูง/ยาว (ม.)</t>
        </is>
      </c>
      <c r="D3" s="3" t="inlineStr">
        <is>
          <t>พื้นที่ (ตร.ม.)</t>
        </is>
      </c>
      <c r="E3" s="3" t="inlineStr">
        <is>
          <t>จำนวน (แผ่น)</t>
        </is>
      </c>
    </row>
    <row r="4">
      <c r="A4" s="4" t="inlineStr">
        <is>
          <t>พื้นคอนกรีต ผิวบนทั้งหมด (รวมระเบียงและลานหน้าบ้าน)</t>
        </is>
      </c>
      <c r="D4" s="16" t="n">
        <v>132.262</v>
      </c>
    </row>
    <row r="5">
      <c r="A5" s="4" t="inlineStr">
        <is>
          <t>หัก พื้นห้องน้ำ 1 และ 2 (ปูกระเบื้องเทาอ่อนแยก)</t>
        </is>
      </c>
      <c r="B5" s="16" t="n">
        <v>1.88</v>
      </c>
      <c r="C5" s="16" t="n">
        <v>2.76</v>
      </c>
      <c r="D5" s="18">
        <f>2*B5*C5</f>
        <v/>
      </c>
    </row>
    <row r="6">
      <c r="A6" s="20" t="inlineStr">
        <is>
          <t>พื้นที่ปูกระเบื้องแกรนิตโต้ ครีมขาว 60x60</t>
        </is>
      </c>
      <c r="B6" s="21" t="n"/>
      <c r="C6" s="21" t="n"/>
      <c r="D6" s="24">
        <f>D4-D5</f>
        <v/>
      </c>
      <c r="E6" s="23">
        <f>ROUNDUP(D6/(ข้อสมมติ!$B$6*ข้อสมมติ!$B$6)*(1+ข้อสมมติ!$B$7),0)</f>
        <v/>
      </c>
    </row>
    <row r="7">
      <c r="A7" s="4" t="inlineStr">
        <is>
          <t>กระเบื้องพื้นห้องน้ำ เทาอ่อน (60x60) 2 ห้อง</t>
        </is>
      </c>
      <c r="D7" s="18">
        <f>D5</f>
        <v/>
      </c>
      <c r="E7" s="19">
        <f>ROUNDUP(D7/(ข้อสมมติ!$B$6*ข้อสมมติ!$B$6)*(1+ข้อสมมติ!$B$7),0)</f>
        <v/>
      </c>
    </row>
    <row r="8">
      <c r="A8" s="4" t="inlineStr">
        <is>
          <t>กระเบื้องบันไดหน้าบ้าน (ขั้นนอนและขั้นตั้ง)</t>
        </is>
      </c>
      <c r="D8" s="16" t="n">
        <v>8.887</v>
      </c>
      <c r="E8" s="19">
        <f>ROUNDUP(D8/(ข้อสมมติ!$B$6*ข้อสมมติ!$B$6)*(1+ข้อสมมติ!$B$7),0)</f>
        <v/>
      </c>
    </row>
    <row r="9">
      <c r="A9" s="4" t="inlineStr">
        <is>
          <t>กระเบื้องลานและบันไดหลังบ้าน</t>
        </is>
      </c>
      <c r="D9" s="16">
        <f>3.2+2.096</f>
        <v/>
      </c>
      <c r="E9" s="19">
        <f>ROUNDUP(D9/(ข้อสมมติ!$B$6*ข้อสมมติ!$B$6)*(1+ข้อสมมติ!$B$7),0)</f>
        <v/>
      </c>
    </row>
    <row r="10">
      <c r="A10" s="20" t="inlineStr">
        <is>
          <t>รวมกระเบื้อง 60x60 (พื้นบ้าน + บันได + ห้องน้ำ)</t>
        </is>
      </c>
      <c r="B10" s="21" t="n"/>
      <c r="C10" s="21" t="n"/>
      <c r="D10" s="24">
        <f>D6+D7+D8+D9</f>
        <v/>
      </c>
      <c r="E10" s="23">
        <f>E6+E7+E8+E9</f>
        <v/>
      </c>
    </row>
    <row r="12">
      <c r="A12" s="25" t="inlineStr">
        <is>
          <t>กระเบื้องผนังห้องน้ำ (สูง 2.60 ม. จากพื้น เว้นช่องประตู/หน้าต่าง)</t>
        </is>
      </c>
    </row>
    <row r="13" ht="32" customHeight="1">
      <c r="A13" s="3" t="inlineStr">
        <is>
          <t>ผนัง</t>
        </is>
      </c>
      <c r="B13" s="3" t="inlineStr">
        <is>
          <t>กว้าง (ม.)</t>
        </is>
      </c>
      <c r="C13" s="3" t="inlineStr">
        <is>
          <t>สูง (ม.)</t>
        </is>
      </c>
      <c r="D13" s="3" t="inlineStr">
        <is>
          <t>พื้นที่ (ตร.ม.)</t>
        </is>
      </c>
      <c r="E13" s="3" t="n"/>
    </row>
    <row r="14">
      <c r="A14" s="4" t="inlineStr">
        <is>
          <t>น้ำ1 เหนือ ใต้หน้าต่าง (ถึง z 2.22)</t>
        </is>
      </c>
      <c r="B14" s="16" t="n">
        <v>1.88</v>
      </c>
      <c r="C14" s="17" t="n">
        <v>1.708</v>
      </c>
      <c r="D14" s="18">
        <f>B14*C14</f>
        <v/>
      </c>
      <c r="E14" s="4" t="n"/>
    </row>
    <row r="15">
      <c r="A15" s="4" t="inlineStr">
        <is>
          <t>น้ำ1 เหนือ ข้างหน้าต่าง (กว้าง 1.88-0.84)</t>
        </is>
      </c>
      <c r="B15" s="16" t="n">
        <v>1.04</v>
      </c>
      <c r="C15" s="17" t="n">
        <v>0.88</v>
      </c>
      <c r="D15" s="18">
        <f>B15*C15</f>
        <v/>
      </c>
      <c r="E15" s="4" t="n"/>
    </row>
    <row r="16">
      <c r="A16" s="4" t="inlineStr">
        <is>
          <t>น้ำ1 ใต้ ข้างประตู (กว้าง 1.88-0.70)</t>
        </is>
      </c>
      <c r="B16" s="16" t="n">
        <v>1.18</v>
      </c>
      <c r="C16" s="26">
        <f>ข้อสมมติ!$B$15</f>
        <v/>
      </c>
      <c r="D16" s="18">
        <f>B16*C16</f>
        <v/>
      </c>
      <c r="E16" s="4" t="n"/>
    </row>
    <row r="17">
      <c r="A17" s="4" t="inlineStr">
        <is>
          <t>น้ำ1 ใต้ เหนือกรอบประตู</t>
        </is>
      </c>
      <c r="B17" s="16" t="n">
        <v>0.7</v>
      </c>
      <c r="C17" s="17" t="n">
        <v>0.6</v>
      </c>
      <c r="D17" s="18">
        <f>B17*C17</f>
        <v/>
      </c>
      <c r="E17" s="4" t="n"/>
    </row>
    <row r="18">
      <c r="A18" s="4" t="inlineStr">
        <is>
          <t>น้ำ1 ตะวันตก</t>
        </is>
      </c>
      <c r="B18" s="16" t="n">
        <v>2.76</v>
      </c>
      <c r="C18" s="26">
        <f>ข้อสมมติ!$B$15</f>
        <v/>
      </c>
      <c r="D18" s="18">
        <f>B18*C18</f>
        <v/>
      </c>
      <c r="E18" s="4" t="n"/>
    </row>
    <row r="19">
      <c r="A19" s="4" t="inlineStr">
        <is>
          <t>น้ำ1 ตะวันออก (ผนังร่วมกับน้ำ2)</t>
        </is>
      </c>
      <c r="B19" s="16" t="n">
        <v>2.76</v>
      </c>
      <c r="C19" s="26">
        <f>ข้อสมมติ!$B$15</f>
        <v/>
      </c>
      <c r="D19" s="18">
        <f>B19*C19</f>
        <v/>
      </c>
      <c r="E19" s="4" t="n"/>
    </row>
    <row r="20">
      <c r="A20" s="4" t="inlineStr">
        <is>
          <t>น้ำ2 เหนือ ใต้หน้าต่าง</t>
        </is>
      </c>
      <c r="B20" s="16" t="n">
        <v>1.88</v>
      </c>
      <c r="C20" s="17" t="n">
        <v>1.708</v>
      </c>
      <c r="D20" s="18">
        <f>B20*C20</f>
        <v/>
      </c>
      <c r="E20" s="4" t="n"/>
    </row>
    <row r="21">
      <c r="A21" s="4" t="inlineStr">
        <is>
          <t>น้ำ2 เหนือ ข้างหน้าต่าง</t>
        </is>
      </c>
      <c r="B21" s="16" t="n">
        <v>1.04</v>
      </c>
      <c r="C21" s="17" t="n">
        <v>0.88</v>
      </c>
      <c r="D21" s="18">
        <f>B21*C21</f>
        <v/>
      </c>
      <c r="E21" s="4" t="n"/>
    </row>
    <row r="22">
      <c r="A22" s="4" t="inlineStr">
        <is>
          <t>น้ำ2 ใต้ ข้างประตู</t>
        </is>
      </c>
      <c r="B22" s="16" t="n">
        <v>1.18</v>
      </c>
      <c r="C22" s="26">
        <f>ข้อสมมติ!$B$15</f>
        <v/>
      </c>
      <c r="D22" s="18">
        <f>B22*C22</f>
        <v/>
      </c>
      <c r="E22" s="4" t="n"/>
    </row>
    <row r="23">
      <c r="A23" s="4" t="inlineStr">
        <is>
          <t>น้ำ2 ใต้ เหนือกรอบประตู</t>
        </is>
      </c>
      <c r="B23" s="16" t="n">
        <v>0.7</v>
      </c>
      <c r="C23" s="17" t="n">
        <v>0.6</v>
      </c>
      <c r="D23" s="18">
        <f>B23*C23</f>
        <v/>
      </c>
      <c r="E23" s="4" t="n"/>
    </row>
    <row r="24">
      <c r="A24" s="4" t="inlineStr">
        <is>
          <t>น้ำ2 ตะวันตก (ผนังร่วมกับน้ำ1)</t>
        </is>
      </c>
      <c r="B24" s="16" t="n">
        <v>2.76</v>
      </c>
      <c r="C24" s="26">
        <f>ข้อสมมติ!$B$15</f>
        <v/>
      </c>
      <c r="D24" s="18">
        <f>B24*C24</f>
        <v/>
      </c>
      <c r="E24" s="4" t="n"/>
    </row>
    <row r="25">
      <c r="A25" s="4" t="inlineStr">
        <is>
          <t>น้ำ2 ตะวันออก เหนือช่องประตู (ยาว 2.76-0.90)</t>
        </is>
      </c>
      <c r="B25" s="16" t="n">
        <v>1.86</v>
      </c>
      <c r="C25" s="26">
        <f>ข้อสมมติ!$B$15</f>
        <v/>
      </c>
      <c r="D25" s="18">
        <f>B25*C25</f>
        <v/>
      </c>
      <c r="E25" s="4" t="n"/>
    </row>
    <row r="26">
      <c r="A26" s="4" t="inlineStr">
        <is>
          <t>น้ำ2 ตะวันออก เหนือกรอบประตู</t>
        </is>
      </c>
      <c r="B26" s="16" t="n">
        <v>0.9</v>
      </c>
      <c r="C26" s="17" t="n">
        <v>0.5</v>
      </c>
      <c r="D26" s="18">
        <f>B26*C26</f>
        <v/>
      </c>
      <c r="E26" s="4" t="n"/>
    </row>
    <row r="27">
      <c r="A27" s="20" t="inlineStr">
        <is>
          <t>รวมกระเบื้องผนังห้องน้ำ (30x60)</t>
        </is>
      </c>
      <c r="B27" s="21" t="n"/>
      <c r="C27" s="21" t="n"/>
      <c r="D27" s="24">
        <f>SUM(D14:D26)</f>
        <v/>
      </c>
      <c r="E27" s="23">
        <f>ROUNDUP(D27/ข้อสมมติ!$B$8*(1+ข้อสมมติ!$B$9),0)</f>
        <v/>
      </c>
    </row>
    <row r="29">
      <c r="A29" s="2" t="inlineStr">
        <is>
          <t>ไม่หักพื้นที่ใต้เคาน์เตอร์ตั้งอ่างและแถบหลังโถสุขภัณฑ์ ซึ่งก่อทับกระเบื้อง</t>
        </is>
      </c>
    </row>
    <row r="32" ht="16" customHeight="1">
      <c r="A32" s="90" t="inlineStr">
        <is>
          <t>สิ่งที่ต้องซื้อ (จากชีตนี้)</t>
        </is>
      </c>
    </row>
    <row r="33">
      <c r="A33" s="86" t="inlineStr">
        <is>
          <t>ปูนกาว (กก./ตร.ม.)</t>
        </is>
      </c>
      <c r="B33" s="95" t="n">
        <v>5</v>
      </c>
      <c r="C33" s="86" t="n"/>
      <c r="D33" s="89" t="inlineStr">
        <is>
          <t>ค่าทั่วไป 4–6</t>
        </is>
      </c>
    </row>
    <row r="34">
      <c r="A34" s="86" t="inlineStr">
        <is>
          <t>ขนาดถุงปูนกาว (กก.)</t>
        </is>
      </c>
      <c r="B34" s="91" t="n">
        <v>20</v>
      </c>
      <c r="C34" s="86" t="n"/>
      <c r="D34" s="89" t="n"/>
    </row>
    <row r="35">
      <c r="A35" s="86" t="inlineStr">
        <is>
          <t>ยาแนว (กก./ตร.ม.)</t>
        </is>
      </c>
      <c r="B35" s="92" t="n">
        <v>0.4</v>
      </c>
      <c r="C35" s="86" t="n"/>
      <c r="D35" s="89" t="n"/>
    </row>
    <row r="36">
      <c r="A36" s="86" t="inlineStr">
        <is>
          <t>ขนาดถุงยาแนว (กก.)</t>
        </is>
      </c>
      <c r="B36" s="91" t="n">
        <v>1</v>
      </c>
      <c r="C36" s="86" t="n"/>
      <c r="D36" s="89" t="n"/>
    </row>
    <row r="37">
      <c r="A37" s="85" t="inlineStr">
        <is>
          <t>รายการที่ต้องซื้อ</t>
        </is>
      </c>
      <c r="B37" s="85" t="inlineStr">
        <is>
          <t>จำนวน</t>
        </is>
      </c>
      <c r="C37" s="85" t="inlineStr">
        <is>
          <t>หน่วย</t>
        </is>
      </c>
      <c r="D37" s="85" t="inlineStr">
        <is>
          <t>หมายเหตุ</t>
        </is>
      </c>
    </row>
    <row r="38">
      <c r="A38" s="86" t="inlineStr">
        <is>
          <t>กระเบื้องแกรนิตโต้ ครีมขาว 60x60 (พื้นบ้าน บันไดหน้าบ้าน ลาน/บันไดหลังบ้าน)</t>
        </is>
      </c>
      <c r="B38" s="93">
        <f>ROUNDUP((D6+D8+D9)*(1+ข้อสมมติ!$B$7),1)</f>
        <v/>
      </c>
      <c r="C38" s="86" t="inlineStr">
        <is>
          <t>ตร.ม.</t>
        </is>
      </c>
      <c r="D38" s="89">
        <f>"รวมเผื่อเสีย "&amp;TEXT(ข้อสมมติ!$B$7,"0%")&amp;" (~"&amp;TEXT(E6+E8+E9,"#,##0")&amp;" แผ่น)"</f>
        <v/>
      </c>
    </row>
    <row r="39">
      <c r="A39" s="86" t="inlineStr">
        <is>
          <t>กระเบื้องพื้นห้องน้ำ เทาอ่อน 60x60</t>
        </is>
      </c>
      <c r="B39" s="93">
        <f>ROUNDUP(D7*(1+ข้อสมมติ!$B$7),1)</f>
        <v/>
      </c>
      <c r="C39" s="86" t="inlineStr">
        <is>
          <t>ตร.ม.</t>
        </is>
      </c>
      <c r="D39" s="89">
        <f>"รวมเผื่อเสีย "&amp;TEXT(ข้อสมมติ!$B$7,"0%")&amp;" (~"&amp;TEXT(E7,"#,##0")&amp;" แผ่น)"</f>
        <v/>
      </c>
    </row>
    <row r="40">
      <c r="A40" s="86" t="inlineStr">
        <is>
          <t>กระเบื้องผนังห้องน้ำ 30x60</t>
        </is>
      </c>
      <c r="B40" s="93">
        <f>ROUNDUP(D27*(1+ข้อสมมติ!$B$9),1)</f>
        <v/>
      </c>
      <c r="C40" s="86" t="inlineStr">
        <is>
          <t>ตร.ม.</t>
        </is>
      </c>
      <c r="D40" s="89">
        <f>"รวมเผื่อเสีย "&amp;TEXT(ข้อสมมติ!$B$9,"0%")&amp;" (~"&amp;TEXT(E27,"#,##0")&amp;" แผ่น)"</f>
        <v/>
      </c>
    </row>
    <row r="41">
      <c r="A41" s="86" t="inlineStr">
        <is>
          <t>ปูนกาวปูกระเบื้อง (ถุง 20 กก.)</t>
        </is>
      </c>
      <c r="B41" s="93">
        <f>ROUNDUP((D10+D27)*$B$33/$B$34,0)</f>
        <v/>
      </c>
      <c r="C41" s="86" t="inlineStr">
        <is>
          <t>ถุง</t>
        </is>
      </c>
      <c r="D41" s="89" t="inlineStr">
        <is>
          <t>พื้นที่ปูพื้น+ผนัง</t>
        </is>
      </c>
    </row>
    <row r="42">
      <c r="A42" s="86" t="inlineStr">
        <is>
          <t>ยาแนวกระเบื้อง (ถุง 1 กก.)</t>
        </is>
      </c>
      <c r="B42" s="93">
        <f>ROUNDUP((D10+D27)*$B$35/$B$36,0)</f>
        <v/>
      </c>
      <c r="C42" s="86" t="inlineStr">
        <is>
          <t>ถุง</t>
        </is>
      </c>
      <c r="D42" s="89" t="n"/>
    </row>
    <row r="43">
      <c r="A43" s="86" t="inlineStr">
        <is>
          <t>วัสดุกันซึมพื้นห้องน้ำ (ตามพื้นที่ที่ผลิตภัณฑ์กำหนด)</t>
        </is>
      </c>
      <c r="B43" s="94">
        <f>D7</f>
        <v/>
      </c>
      <c r="C43" s="86" t="inlineStr">
        <is>
          <t>ตร.ม.</t>
        </is>
      </c>
      <c r="D43" s="89" t="inlineStr">
        <is>
          <t>พื้นที่พื้นห้องน้ำ 2 ห้อง ยังไม่รวมผนังสูง 30 ซม.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7" sqref="A17"/>
    </sheetView>
  </sheetViews>
  <sheetFormatPr baseColWidth="10" defaultColWidth="8.83203125" defaultRowHeight="15"/>
  <cols>
    <col width="34" customWidth="1" min="1" max="1"/>
    <col width="16" customWidth="1" min="2" max="2"/>
    <col width="14" customWidth="1" min="3" max="3"/>
    <col width="16" customWidth="1" min="4" max="5"/>
    <col width="12" customWidth="1" min="6" max="6"/>
    <col width="16" customWidth="1" min="7" max="7"/>
  </cols>
  <sheetData>
    <row r="1" ht="18" customHeight="1">
      <c r="A1" s="1" t="inlineStr">
        <is>
          <t>หลังคา แผ่น PU ลอน 760</t>
        </is>
      </c>
    </row>
    <row r="3" ht="32" customHeight="1">
      <c r="A3" s="3" t="inlineStr">
        <is>
          <t>ส่วนหลังคา</t>
        </is>
      </c>
      <c r="B3" s="3" t="inlineStr">
        <is>
          <t>พื้นที่ในแนวราบ (ตร.ม.)</t>
        </is>
      </c>
      <c r="C3" s="3" t="inlineStr">
        <is>
          <t>ความลาด (องศา)</t>
        </is>
      </c>
      <c r="D3" s="3" t="inlineStr">
        <is>
          <t>พื้นที่ตามลาด (ตร.ม.)</t>
        </is>
      </c>
      <c r="E3" s="3" t="inlineStr">
        <is>
          <t>ยาวตามลาดสูงสุด (ม.)</t>
        </is>
      </c>
      <c r="F3" s="3" t="inlineStr">
        <is>
          <t>ขนาดแผ่น (แผ่น)</t>
        </is>
      </c>
      <c r="G3" s="3" t="inlineStr">
        <is>
          <t>หมายเหตุ</t>
        </is>
      </c>
    </row>
    <row r="4">
      <c r="A4" s="4" t="inlineStr">
        <is>
          <t>a (ปีกห้องนอน ด้านเหนือ)</t>
        </is>
      </c>
      <c r="B4" s="16" t="n">
        <v>39.48</v>
      </c>
      <c r="C4" s="27">
        <f>ข้อสมมติ!$B$12</f>
        <v/>
      </c>
      <c r="D4" s="18">
        <f>B4/COS(RADIANS(C4))</f>
        <v/>
      </c>
      <c r="E4" s="18">
        <f>3.56/COS(RADIANS(C4))</f>
        <v/>
      </c>
      <c r="F4" s="19">
        <f>ROUNDUP(D4*(1+ข้อสมมติ!$B$11)/(ข้อสมมติ!$B$10*E4),0)</f>
        <v/>
      </c>
      <c r="G4" s="6" t="inlineStr">
        <is>
          <t>ประมาณจากพื้นที่ ÷ (0.76 × ยาวตามลาด)</t>
        </is>
      </c>
    </row>
    <row r="5">
      <c r="A5" s="4" t="inlineStr">
        <is>
          <t>b (ปีกห้องนอน ด้านใต้)</t>
        </is>
      </c>
      <c r="B5" s="16" t="n">
        <v>26.82</v>
      </c>
      <c r="C5" s="27">
        <f>ข้อสมมติ!$B$12</f>
        <v/>
      </c>
      <c r="D5" s="18">
        <f>B5/COS(RADIANS(C5))</f>
        <v/>
      </c>
      <c r="E5" s="18">
        <f>3.56/COS(RADIANS(C5))</f>
        <v/>
      </c>
      <c r="F5" s="19">
        <f>ROUNDUP(D5*(1+ข้อสมมติ!$B$11)/(ข้อสมมติ!$B$10*E5),0)</f>
        <v/>
      </c>
      <c r="G5" s="6" t="inlineStr">
        <is>
          <t>ประมาณจากพื้นที่ ÷ (0.76 × ยาวตามลาด)</t>
        </is>
      </c>
    </row>
    <row r="6">
      <c r="A6" s="4" t="inlineStr">
        <is>
          <t>c (ปีกนั่งเล่น ด้านตะวันตก)</t>
        </is>
      </c>
      <c r="B6" s="16" t="n">
        <v>33.41</v>
      </c>
      <c r="C6" s="27">
        <f>ข้อสมมติ!$B$12</f>
        <v/>
      </c>
      <c r="D6" s="18">
        <f>B6/COS(RADIANS(C6))</f>
        <v/>
      </c>
      <c r="E6" s="18">
        <f>3.37/COS(RADIANS(C6))</f>
        <v/>
      </c>
      <c r="F6" s="19">
        <f>ROUNDUP(D6*(1+ข้อสมมติ!$B$11)/(ข้อสมมติ!$B$10*E6),0)</f>
        <v/>
      </c>
      <c r="G6" s="6" t="inlineStr">
        <is>
          <t>ประมาณจากพื้นที่ ÷ (0.76 × ยาวตามลาด)</t>
        </is>
      </c>
    </row>
    <row r="7">
      <c r="A7" s="4" t="inlineStr">
        <is>
          <t>d (ปีกนั่งเล่น ด้านตะวันออก)</t>
        </is>
      </c>
      <c r="B7" s="16" t="n">
        <v>70.98</v>
      </c>
      <c r="C7" s="27">
        <f>ข้อสมมติ!$B$12</f>
        <v/>
      </c>
      <c r="D7" s="18">
        <f>B7/COS(RADIANS(C7))</f>
        <v/>
      </c>
      <c r="E7" s="18">
        <f>5.1/COS(RADIANS(C7))</f>
        <v/>
      </c>
      <c r="F7" s="19">
        <f>ROUNDUP(D7*(1+ข้อสมมติ!$B$11)/(ข้อสมมติ!$B$10*E7),0)</f>
        <v/>
      </c>
      <c r="G7" s="6" t="inlineStr">
        <is>
          <t>ประมาณจากพื้นที่ ÷ (0.76 × ยาวตามลาด)</t>
        </is>
      </c>
    </row>
    <row r="8">
      <c r="A8" s="4" t="inlineStr">
        <is>
          <t>หลังคาเพิงลานหน้าบ้าน (x 1.33 ถึง 5.00, y -14.11 ถึง -5.56)</t>
        </is>
      </c>
      <c r="B8" s="16" t="n">
        <v>31.41</v>
      </c>
      <c r="C8" s="27">
        <f>ข้อสมมติ!$B$13</f>
        <v/>
      </c>
      <c r="D8" s="18">
        <f>B8/COS(RADIANS(C8))</f>
        <v/>
      </c>
      <c r="E8" s="18">
        <f>3.674/COS(RADIANS(C8))</f>
        <v/>
      </c>
      <c r="F8" s="19">
        <f>ROUNDUP(D8*(1+ข้อสมมติ!$B$11)/(ข้อสมมติ!$B$10*E8),0)</f>
        <v/>
      </c>
      <c r="G8" s="6" t="inlineStr">
        <is>
          <t>ตัดเหลือซ้อนใต้หลังคา c แค่ 0.12 ม.</t>
        </is>
      </c>
    </row>
    <row r="9">
      <c r="A9" s="20" t="inlineStr">
        <is>
          <t>รวมพื้นที่หลังคา</t>
        </is>
      </c>
      <c r="B9" s="21" t="n"/>
      <c r="C9" s="21" t="n"/>
      <c r="D9" s="24">
        <f>SUM(D4:D8)</f>
        <v/>
      </c>
      <c r="E9" s="21" t="n"/>
      <c r="F9" s="23">
        <f>SUM(F4:F8)</f>
        <v/>
      </c>
      <c r="G9" s="21" t="n"/>
    </row>
    <row r="11">
      <c r="A11" s="2" t="inlineStr">
        <is>
          <t>จำนวนแผ่นเป็นค่าประมาณเบื้องต้น ต้องให้ผู้จัดทำหลังคาแยกแผ่นตามแบบจริง (ความยาวแผ่นแต่ละแผ่นต่างกันที่สันหยาและร่อง)</t>
        </is>
      </c>
    </row>
    <row r="14" ht="16" customHeight="1">
      <c r="A14" s="90" t="inlineStr">
        <is>
          <t>สิ่งที่ต้องซื้อ (จากชีตนี้)</t>
        </is>
      </c>
    </row>
    <row r="15">
      <c r="A15" s="86" t="inlineStr">
        <is>
          <t>สกรูต่อพื้นที่หลังคา (ตัว/ตร.ม.)</t>
        </is>
      </c>
      <c r="B15" s="91" t="n">
        <v>8</v>
      </c>
      <c r="C15" s="86" t="n"/>
      <c r="D15" s="89" t="inlineStr">
        <is>
          <t>ค่าทั่วไป 6–10</t>
        </is>
      </c>
    </row>
    <row r="16">
      <c r="A16" s="85" t="inlineStr">
        <is>
          <t>รายการที่ต้องซื้อ</t>
        </is>
      </c>
      <c r="B16" s="85" t="inlineStr">
        <is>
          <t>จำนวน</t>
        </is>
      </c>
      <c r="C16" s="85" t="inlineStr">
        <is>
          <t>หน่วย</t>
        </is>
      </c>
      <c r="D16" s="85" t="inlineStr">
        <is>
          <t>หมายเหตุ</t>
        </is>
      </c>
    </row>
    <row r="17">
      <c r="A17" s="86" t="inlineStr">
        <is>
          <t>แผ่นหลังคา PU ลอน 760 (เหมา 1 job)</t>
        </is>
      </c>
      <c r="B17" s="101" t="n">
        <v>1</v>
      </c>
      <c r="C17" s="86" t="inlineStr">
        <is>
          <t>เหมา</t>
        </is>
      </c>
      <c r="D17" s="89">
        <f>"อ้างอิง ~"&amp;TEXT(F9,"#,##0")&amp;" แผ่น / "&amp;TEXT(D9,"#,##0.0")&amp;" ตร.ม. ตามลาด"</f>
        <v/>
      </c>
    </row>
    <row r="18">
      <c r="A18" s="86" t="inlineStr">
        <is>
          <t>สกรูยึดหลังคา</t>
        </is>
      </c>
      <c r="B18" s="93">
        <f>ROUNDUP(D9*$B$15,0)</f>
        <v/>
      </c>
      <c r="C18" s="86" t="inlineStr">
        <is>
          <t>ตัว</t>
        </is>
      </c>
      <c r="D18" s="89" t="n"/>
    </row>
    <row r="19">
      <c r="A19" s="86" t="inlineStr">
        <is>
          <t>ครอบสัน ครอบข้าง ฟลาชชิ่ง ซีล (ต้องตรวจนับหน้างาน)</t>
        </is>
      </c>
      <c r="B19" s="145" t="n"/>
      <c r="C19" s="86" t="inlineStr">
        <is>
          <t>เหมา</t>
        </is>
      </c>
      <c r="D19" s="89" t="inlineStr">
        <is>
          <t>ไม่มีปริมาณในโมเดล</t>
        </is>
      </c>
    </row>
    <row r="20">
      <c r="A20" s="86" t="inlineStr">
        <is>
          <t>โครงหลังคาเหล็ก (แป จันทัน ตะเฆ่สัน) ยังไม่มีในไฟล์นี้</t>
        </is>
      </c>
      <c r="B20" s="145" t="n"/>
      <c r="C20" s="86" t="inlineStr">
        <is>
          <t>เหมา</t>
        </is>
      </c>
      <c r="D20" s="89" t="inlineStr">
        <is>
          <t>ต้องให้วิศวกร/ผู้รับเหมากำหนด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topLeftCell="A13" zoomScale="142" workbookViewId="0">
      <selection activeCell="G15" sqref="G15:G33"/>
    </sheetView>
  </sheetViews>
  <sheetFormatPr baseColWidth="10" defaultColWidth="8.83203125" defaultRowHeight="15"/>
  <cols>
    <col width="40" customWidth="1" min="1" max="1"/>
    <col width="12" customWidth="1" min="2" max="3"/>
    <col width="14" customWidth="1" min="4" max="4"/>
    <col width="15" customWidth="1" min="6" max="6"/>
    <col width="10.5" bestFit="1" customWidth="1" min="8" max="8"/>
    <col width="7.5" bestFit="1" customWidth="1" min="9" max="9"/>
  </cols>
  <sheetData>
    <row r="1" ht="18" customHeight="1">
      <c r="A1" s="1" t="inlineStr">
        <is>
          <t>ประตูและหน้าต่าง (ขนาดกรอบนอก)</t>
        </is>
      </c>
    </row>
    <row r="3" ht="32" customHeight="1">
      <c r="A3" s="3" t="inlineStr">
        <is>
          <t>ประตู</t>
        </is>
      </c>
      <c r="B3" s="3" t="inlineStr">
        <is>
          <t>กว้าง (ม.)</t>
        </is>
      </c>
      <c r="C3" s="3" t="inlineStr">
        <is>
          <t>สูง (ม.)</t>
        </is>
      </c>
      <c r="D3" s="3" t="inlineStr">
        <is>
          <t>พื้นที่ (ตร.ม.)</t>
        </is>
      </c>
    </row>
    <row r="4">
      <c r="A4" s="4" t="inlineStr">
        <is>
          <t>ประตู_นอน1-นั่งเล่น</t>
        </is>
      </c>
      <c r="B4" s="16" t="n">
        <v>0.8</v>
      </c>
      <c r="C4" s="16" t="n">
        <v>2</v>
      </c>
      <c r="D4" s="18">
        <f>B4*C4</f>
        <v/>
      </c>
    </row>
    <row r="5">
      <c r="A5" s="4" t="inlineStr">
        <is>
          <t>ประตู_นอน1-น้ำ1</t>
        </is>
      </c>
      <c r="B5" s="16" t="n">
        <v>0.7</v>
      </c>
      <c r="C5" s="16" t="n">
        <v>2</v>
      </c>
      <c r="D5" s="18">
        <f>B5*C5</f>
        <v/>
      </c>
    </row>
    <row r="6">
      <c r="A6" s="4" t="inlineStr">
        <is>
          <t>ประตู_นั่งเล่น-นอน2</t>
        </is>
      </c>
      <c r="B6" s="16" t="n">
        <v>0.8</v>
      </c>
      <c r="C6" s="16" t="n">
        <v>2</v>
      </c>
      <c r="D6" s="18">
        <f>B6*C6</f>
        <v/>
      </c>
    </row>
    <row r="7">
      <c r="A7" s="4" t="inlineStr">
        <is>
          <t>ประตู_นั่งเล่น-น้ำ2</t>
        </is>
      </c>
      <c r="B7" s="16" t="n">
        <v>0.7</v>
      </c>
      <c r="C7" s="16" t="n">
        <v>2</v>
      </c>
      <c r="D7" s="18">
        <f>B7*C7</f>
        <v/>
      </c>
    </row>
    <row r="8">
      <c r="A8" s="4" t="inlineStr">
        <is>
          <t>ประตู_นั่งเล่น_เหนือ</t>
        </is>
      </c>
      <c r="B8" s="16" t="n">
        <v>0.8</v>
      </c>
      <c r="C8" s="16" t="n">
        <v>2</v>
      </c>
      <c r="D8" s="18">
        <f>B8*C8</f>
        <v/>
      </c>
    </row>
    <row r="9">
      <c r="A9" s="4" t="inlineStr">
        <is>
          <t>ประตู_น้ำ2-นอน2</t>
        </is>
      </c>
      <c r="B9" s="16" t="n">
        <v>0.9</v>
      </c>
      <c r="C9" s="16" t="n">
        <v>2.1</v>
      </c>
      <c r="D9" s="18">
        <f>B9*C9</f>
        <v/>
      </c>
    </row>
    <row r="10">
      <c r="A10" s="4" t="inlineStr">
        <is>
          <t>ประตู_ลานหน้าบ้าน-นั่งเล่น_1</t>
        </is>
      </c>
      <c r="B10" s="16" t="n">
        <v>1</v>
      </c>
      <c r="C10" s="16" t="n">
        <v>2</v>
      </c>
      <c r="D10" s="18">
        <f>B10*C10</f>
        <v/>
      </c>
    </row>
    <row r="11">
      <c r="A11" s="4" t="inlineStr">
        <is>
          <t>ประตู_ลานหน้าบ้าน-นั่งเล่น_2</t>
        </is>
      </c>
      <c r="B11" s="16" t="n">
        <v>1</v>
      </c>
      <c r="C11" s="16" t="n">
        <v>2</v>
      </c>
      <c r="D11" s="18">
        <f>B11*C11</f>
        <v/>
      </c>
    </row>
    <row r="12">
      <c r="A12" s="4" t="inlineStr">
        <is>
          <t>ประตู_เก็บของ-นั่งเล่น</t>
        </is>
      </c>
      <c r="B12" s="16" t="n">
        <v>0.7</v>
      </c>
      <c r="C12" s="16" t="n">
        <v>2</v>
      </c>
      <c r="D12" s="18">
        <f>B12*C12</f>
        <v/>
      </c>
    </row>
    <row r="13">
      <c r="A13" s="20" t="inlineStr">
        <is>
          <t>รวมประตู (บาน)</t>
        </is>
      </c>
      <c r="B13" s="28">
        <f>COUNTA(A4:A12)</f>
        <v/>
      </c>
      <c r="C13" s="21" t="n"/>
      <c r="D13" s="24">
        <f>SUM(D4:D12)</f>
        <v/>
      </c>
    </row>
    <row r="15" ht="32" customHeight="1">
      <c r="A15" s="3" t="inlineStr">
        <is>
          <t>หน้าต่าง</t>
        </is>
      </c>
      <c r="B15" s="3" t="inlineStr">
        <is>
          <t>กว้าง (ม.)</t>
        </is>
      </c>
      <c r="C15" s="3" t="inlineStr">
        <is>
          <t>สูง (ม.)</t>
        </is>
      </c>
      <c r="D15" s="3" t="inlineStr">
        <is>
          <t>พื้นที่ (ตร.ม.)</t>
        </is>
      </c>
      <c r="F15" s="55" t="inlineStr">
        <is>
          <t>MP aluminium buritam</t>
        </is>
      </c>
      <c r="G15" s="55" t="inlineStr">
        <is>
          <t>PP windows bkk</t>
        </is>
      </c>
      <c r="H15" s="55" t="inlineStr">
        <is>
          <t>MP ทางเลือก บานกระทุ้ง</t>
        </is>
      </c>
      <c r="I15" s="55" t="inlineStr">
        <is>
          <t>PP ทางเลือก</t>
        </is>
      </c>
    </row>
    <row r="16">
      <c r="A16" s="4" t="inlineStr">
        <is>
          <t>หน้าต่าง_นอน1_ตะวันตก</t>
        </is>
      </c>
      <c r="B16" s="16" t="n">
        <v>2</v>
      </c>
      <c r="C16" s="16" t="n">
        <v>1.1</v>
      </c>
      <c r="D16" s="18">
        <f>B16*C16</f>
        <v/>
      </c>
      <c r="F16" s="57" t="n">
        <v>4800</v>
      </c>
      <c r="G16" s="57" t="n">
        <v>5290</v>
      </c>
      <c r="H16" s="57" t="n">
        <v>8500</v>
      </c>
      <c r="I16" s="57" t="n">
        <v>10990</v>
      </c>
    </row>
    <row r="17">
      <c r="A17" s="4" t="inlineStr">
        <is>
          <t>หน้าต่าง_นอน1_เหนือ_1</t>
        </is>
      </c>
      <c r="B17" s="16" t="n">
        <v>0.5</v>
      </c>
      <c r="C17" s="16" t="n">
        <v>1.5</v>
      </c>
      <c r="D17" s="18">
        <f>B17*C17</f>
        <v/>
      </c>
      <c r="F17" s="57" t="n">
        <v>3000</v>
      </c>
      <c r="G17" s="57" t="n">
        <v>2940</v>
      </c>
    </row>
    <row r="18">
      <c r="A18" s="4" t="inlineStr">
        <is>
          <t>หน้าต่าง_นอน1_เหนือ_2</t>
        </is>
      </c>
      <c r="B18" s="16" t="n">
        <v>0.5</v>
      </c>
      <c r="C18" s="16" t="n">
        <v>1.5</v>
      </c>
      <c r="D18" s="18">
        <f>B18*C18</f>
        <v/>
      </c>
      <c r="F18" s="57" t="n">
        <v>3000</v>
      </c>
      <c r="G18" s="57" t="n">
        <v>2940</v>
      </c>
    </row>
    <row r="19">
      <c r="A19" s="4" t="inlineStr">
        <is>
          <t>หน้าต่าง_นอน1_ใต้</t>
        </is>
      </c>
      <c r="B19" s="16" t="n">
        <v>0.5</v>
      </c>
      <c r="C19" s="16" t="n">
        <v>1.5</v>
      </c>
      <c r="D19" s="18">
        <f>B19*C19</f>
        <v/>
      </c>
      <c r="F19" s="57" t="n">
        <v>3000</v>
      </c>
      <c r="G19" s="57" t="n">
        <v>2940</v>
      </c>
    </row>
    <row r="20">
      <c r="A20" s="4" t="inlineStr">
        <is>
          <t>หน้าต่าง_นอน2_ตะวันออก</t>
        </is>
      </c>
      <c r="B20" s="16" t="n">
        <v>2</v>
      </c>
      <c r="C20" s="16" t="n">
        <v>1.1</v>
      </c>
      <c r="D20" s="18">
        <f>B20*C20</f>
        <v/>
      </c>
      <c r="F20" s="57" t="n">
        <v>4800</v>
      </c>
      <c r="G20" s="57" t="n">
        <v>5290</v>
      </c>
      <c r="H20" s="57" t="n">
        <v>8500</v>
      </c>
      <c r="I20" s="57" t="n">
        <v>10990</v>
      </c>
    </row>
    <row r="21">
      <c r="A21" s="4" t="inlineStr">
        <is>
          <t>หน้าต่าง_นอน2_เหนือ_1</t>
        </is>
      </c>
      <c r="B21" s="16" t="n">
        <v>0.5</v>
      </c>
      <c r="C21" s="16" t="n">
        <v>1.5</v>
      </c>
      <c r="D21" s="18">
        <f>B21*C21</f>
        <v/>
      </c>
      <c r="F21" s="57" t="n">
        <v>3000</v>
      </c>
      <c r="G21" s="57" t="n">
        <v>2940</v>
      </c>
    </row>
    <row r="22">
      <c r="A22" s="4" t="inlineStr">
        <is>
          <t>หน้าต่าง_นอน2_เหนือ_2</t>
        </is>
      </c>
      <c r="B22" s="16" t="n">
        <v>0.5</v>
      </c>
      <c r="C22" s="16" t="n">
        <v>1.5</v>
      </c>
      <c r="D22" s="18">
        <f>B22*C22</f>
        <v/>
      </c>
      <c r="F22" s="57" t="n">
        <v>3000</v>
      </c>
      <c r="G22" s="57" t="n">
        <v>2940</v>
      </c>
    </row>
    <row r="23">
      <c r="A23" s="4" t="inlineStr">
        <is>
          <t>หน้าต่าง_นั่งเล่น_ตะวันออก_1</t>
        </is>
      </c>
      <c r="B23" s="16" t="n">
        <v>2</v>
      </c>
      <c r="C23" s="16" t="n">
        <v>1.8</v>
      </c>
      <c r="D23" s="18">
        <f>B23*C23</f>
        <v/>
      </c>
      <c r="F23" s="57" t="n">
        <v>10000</v>
      </c>
      <c r="G23" s="57" t="n">
        <v>9690</v>
      </c>
      <c r="I23" s="57" t="n">
        <v>16290</v>
      </c>
    </row>
    <row r="24">
      <c r="A24" s="4" t="inlineStr">
        <is>
          <t>หน้าต่าง_นั่งเล่น_ตะวันออก_2</t>
        </is>
      </c>
      <c r="B24" s="16" t="n">
        <v>1.2</v>
      </c>
      <c r="C24" s="16" t="n">
        <v>1.1</v>
      </c>
      <c r="D24" s="18">
        <f>B24*C24</f>
        <v/>
      </c>
      <c r="F24" s="57" t="n">
        <v>2800</v>
      </c>
      <c r="G24" s="57" t="n">
        <v>2640</v>
      </c>
      <c r="H24" s="57" t="n">
        <v>5000</v>
      </c>
      <c r="I24" s="57" t="n">
        <v>5590</v>
      </c>
    </row>
    <row r="25">
      <c r="A25" s="4" t="inlineStr">
        <is>
          <t>หน้าต่าง_นั่งเล่น_ใต้_1</t>
        </is>
      </c>
      <c r="B25" s="16" t="n">
        <v>0.5</v>
      </c>
      <c r="C25" s="16" t="n">
        <v>1.5</v>
      </c>
      <c r="D25" s="18">
        <f>B25*C25</f>
        <v/>
      </c>
      <c r="F25" s="57" t="n">
        <v>3000</v>
      </c>
      <c r="G25" s="57" t="n">
        <v>2940</v>
      </c>
    </row>
    <row r="26">
      <c r="A26" s="4" t="inlineStr">
        <is>
          <t>หน้าต่าง_นั่งเล่น_ใต้_2</t>
        </is>
      </c>
      <c r="B26" s="16" t="n">
        <v>0.5</v>
      </c>
      <c r="C26" s="16" t="n">
        <v>1.5</v>
      </c>
      <c r="D26" s="18">
        <f>B26*C26</f>
        <v/>
      </c>
      <c r="F26" s="57" t="n">
        <v>3000</v>
      </c>
      <c r="G26" s="57" t="n">
        <v>2940</v>
      </c>
    </row>
    <row r="27">
      <c r="A27" s="4" t="inlineStr">
        <is>
          <t>หน้าต่าง_น้ำ1_เหนือ_1</t>
        </is>
      </c>
      <c r="B27" s="16" t="n">
        <v>0.8</v>
      </c>
      <c r="C27" s="16" t="n">
        <v>0.5</v>
      </c>
      <c r="D27" s="18">
        <f>B27*C27</f>
        <v/>
      </c>
      <c r="F27" s="57" t="n">
        <v>1450</v>
      </c>
      <c r="G27" s="57" t="n">
        <v>1140</v>
      </c>
    </row>
    <row r="28">
      <c r="A28" s="4" t="inlineStr">
        <is>
          <t>หน้าต่าง_น้ำ1_เหนือ_2</t>
        </is>
      </c>
      <c r="B28" s="16" t="n">
        <v>0.8</v>
      </c>
      <c r="C28" s="16" t="n">
        <v>0.5</v>
      </c>
      <c r="D28" s="18">
        <f>B28*C28</f>
        <v/>
      </c>
      <c r="F28" s="57" t="n">
        <v>1450</v>
      </c>
      <c r="G28" s="57" t="n">
        <v>1140</v>
      </c>
    </row>
    <row r="29">
      <c r="A29" s="4" t="inlineStr">
        <is>
          <t>หน้าต่าง_น้ำ2_เหนือ_1</t>
        </is>
      </c>
      <c r="B29" s="16" t="n">
        <v>0.8</v>
      </c>
      <c r="C29" s="16" t="n">
        <v>0.5</v>
      </c>
      <c r="D29" s="18">
        <f>B29*C29</f>
        <v/>
      </c>
      <c r="F29" s="57" t="n">
        <v>1450</v>
      </c>
      <c r="G29" s="57" t="n">
        <v>1140</v>
      </c>
    </row>
    <row r="30">
      <c r="A30" s="4" t="inlineStr">
        <is>
          <t>หน้าต่าง_น้ำ2_เหนือ_2</t>
        </is>
      </c>
      <c r="B30" s="16" t="n">
        <v>0.8</v>
      </c>
      <c r="C30" s="16" t="n">
        <v>0.5</v>
      </c>
      <c r="D30" s="18">
        <f>B30*C30</f>
        <v/>
      </c>
      <c r="F30" s="57" t="n">
        <v>1450</v>
      </c>
      <c r="G30" s="57" t="n">
        <v>1140</v>
      </c>
    </row>
    <row r="31">
      <c r="A31" s="4" t="inlineStr">
        <is>
          <t>หน้าต่าง_ลานหน้าบ้าน-นั่งเล่น</t>
        </is>
      </c>
      <c r="B31" s="16" t="n">
        <v>2</v>
      </c>
      <c r="C31" s="16" t="n">
        <v>2</v>
      </c>
      <c r="D31" s="18">
        <f>B31*C31</f>
        <v/>
      </c>
      <c r="F31" s="57" t="n">
        <v>6800</v>
      </c>
      <c r="G31" s="57" t="n">
        <v>8490</v>
      </c>
    </row>
    <row r="32">
      <c r="A32" s="4" t="inlineStr">
        <is>
          <t>หน้าต่าง_เก็บของ_ตะวันออก</t>
        </is>
      </c>
      <c r="B32" s="16" t="n">
        <v>0.8</v>
      </c>
      <c r="C32" s="16" t="n">
        <v>0.5</v>
      </c>
      <c r="D32" s="18">
        <f>B32*C32</f>
        <v/>
      </c>
      <c r="F32" s="57" t="n">
        <v>1450</v>
      </c>
      <c r="G32" s="57" t="n">
        <v>1140</v>
      </c>
    </row>
    <row r="33">
      <c r="A33" s="4" t="inlineStr">
        <is>
          <t>หน้าต่าง_เก็บของ_ใต้</t>
        </is>
      </c>
      <c r="B33" s="16" t="n">
        <v>0.8</v>
      </c>
      <c r="C33" s="16" t="n">
        <v>0.5</v>
      </c>
      <c r="D33" s="18">
        <f>B33*C33</f>
        <v/>
      </c>
      <c r="F33" s="57" t="n">
        <v>1450</v>
      </c>
      <c r="G33" s="57" t="n">
        <v>1140</v>
      </c>
    </row>
    <row r="34">
      <c r="A34" s="20" t="inlineStr">
        <is>
          <t>รวมหน้าต่าง (บาน)</t>
        </is>
      </c>
      <c r="B34" s="28">
        <f>COUNTA(A16:A33)</f>
        <v/>
      </c>
      <c r="C34" s="21" t="n"/>
      <c r="D34" s="24">
        <f>SUM(D16:D33)</f>
        <v/>
      </c>
      <c r="F34" s="58">
        <f>SUM(F16:F33)</f>
        <v/>
      </c>
      <c r="G34" s="58">
        <f>SUM(G16:G33)</f>
        <v/>
      </c>
    </row>
    <row r="35">
      <c r="G35" s="56">
        <f>G34-2500</f>
        <v/>
      </c>
    </row>
    <row r="36">
      <c r="A36" s="2" t="inlineStr">
        <is>
          <t>ประตูหน้าบ้านเป็นประตูคู่ 2 บาน บานละ 1.0 ม. รวมนับ 2 บาน</t>
        </is>
      </c>
    </row>
    <row r="39" ht="16" customHeight="1">
      <c r="A39" s="90" t="inlineStr">
        <is>
          <t>สิ่งที่ต้องซื้อ (จากชีตนี้)</t>
        </is>
      </c>
    </row>
    <row r="40">
      <c r="A40" s="85" t="inlineStr">
        <is>
          <t>รายการที่ต้องซื้อ</t>
        </is>
      </c>
      <c r="B40" s="85" t="inlineStr">
        <is>
          <t>จำนวน</t>
        </is>
      </c>
      <c r="C40" s="85" t="inlineStr">
        <is>
          <t>หน่วย</t>
        </is>
      </c>
      <c r="D40" s="85" t="inlineStr">
        <is>
          <t>หมายเหตุ</t>
        </is>
      </c>
    </row>
    <row r="41">
      <c r="A41" s="86" t="inlineStr">
        <is>
          <t>ประตู 0.70x2.00 ม.</t>
        </is>
      </c>
      <c r="B41" s="96">
        <f>COUNTIFS(B4:B12,0.7,C4:C12,2)</f>
        <v/>
      </c>
      <c r="C41" s="86" t="inlineStr">
        <is>
          <t>บาน</t>
        </is>
      </c>
      <c r="D41" s="89" t="inlineStr">
        <is>
          <t>ห้องน้ำ 1 / ห้องน้ำ 2 (ฝั่งนั่งเล่น) / เก็บของ</t>
        </is>
      </c>
    </row>
    <row r="42">
      <c r="A42" s="86" t="inlineStr">
        <is>
          <t>ประตู 0.80x2.00 ม.</t>
        </is>
      </c>
      <c r="B42" s="96">
        <f>COUNTIFS(B4:B12,0.8,C4:C12,2)</f>
        <v/>
      </c>
      <c r="C42" s="86" t="inlineStr">
        <is>
          <t>บาน</t>
        </is>
      </c>
      <c r="D42" s="89" t="inlineStr">
        <is>
          <t>D4 D5 บานทึบ + D6 ประตูหลังบ้านไม้ระแนง</t>
        </is>
      </c>
    </row>
    <row r="43">
      <c r="A43" s="86" t="inlineStr">
        <is>
          <t>ประตู 0.90x2.10 ม. (ห้องน้ำ 2 ↔ ห้องนอน 2)</t>
        </is>
      </c>
      <c r="B43" s="96">
        <f>COUNTIFS(B4:B12,0.9,C4:C12,2.1)</f>
        <v/>
      </c>
      <c r="C43" s="86" t="inlineStr">
        <is>
          <t>บาน</t>
        </is>
      </c>
      <c r="D43" s="89" t="n"/>
    </row>
    <row r="44">
      <c r="A44" s="86" t="inlineStr">
        <is>
          <t>ประตู 1.00x2.00 ม. (ประตูหลักคู่ไม้ระแนง นับ 2 บาน)</t>
        </is>
      </c>
      <c r="B44" s="96">
        <f>COUNTIFS(B4:B12,1,C4:C12,2)</f>
        <v/>
      </c>
      <c r="C44" s="86" t="inlineStr">
        <is>
          <t>บาน</t>
        </is>
      </c>
      <c r="D44" s="89" t="n"/>
    </row>
    <row r="45">
      <c r="A45" s="86" t="inlineStr">
        <is>
          <t>ชุดวงกบ บานพับ มือจับ กุญแจ (ต่อบานประตู)</t>
        </is>
      </c>
      <c r="B45" s="96">
        <f>B13</f>
        <v/>
      </c>
      <c r="C45" s="86" t="inlineStr">
        <is>
          <t>ชุด</t>
        </is>
      </c>
      <c r="D45" s="89" t="inlineStr">
        <is>
          <t>ยังไม่ระบุรุ่น</t>
        </is>
      </c>
    </row>
    <row r="47">
      <c r="A47" s="84" t="inlineStr">
        <is>
          <t>หน้าต่างดูรายการซื้อในชีต Sheet1 (ตารางสั่งทำหน้าต่างตามขนาด)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J2" sqref="J2:J7"/>
    </sheetView>
  </sheetViews>
  <sheetFormatPr baseColWidth="10" defaultRowHeight="15"/>
  <cols>
    <col width="22" bestFit="1" customWidth="1" min="1" max="1"/>
    <col width="50.33203125" customWidth="1" min="6" max="6"/>
    <col width="13.33203125" customWidth="1" min="7" max="8"/>
    <col width="16.6640625" customWidth="1" min="9" max="9"/>
    <col width="13.33203125" customWidth="1" min="10" max="12"/>
  </cols>
  <sheetData>
    <row r="1" ht="29" customHeight="1">
      <c r="A1" s="3" t="inlineStr">
        <is>
          <t>หน้าต่าง</t>
        </is>
      </c>
      <c r="B1" s="3" t="inlineStr">
        <is>
          <t>กว้าง (ม.)</t>
        </is>
      </c>
      <c r="C1" s="3" t="inlineStr">
        <is>
          <t>สูง (ม.)</t>
        </is>
      </c>
      <c r="D1" s="3" t="inlineStr">
        <is>
          <t>พื้นที่ (ตร.ม.)</t>
        </is>
      </c>
      <c r="F1" s="33" t="inlineStr">
        <is>
          <t>รหัส</t>
        </is>
      </c>
      <c r="G1" s="33" t="inlineStr">
        <is>
          <t>กว้าง (ม.)</t>
        </is>
      </c>
      <c r="H1" s="33" t="inlineStr">
        <is>
          <t>สูง (ม.)</t>
        </is>
      </c>
      <c r="I1" s="33" t="inlineStr">
        <is>
          <t>ขนาด</t>
        </is>
      </c>
      <c r="J1" s="33" t="inlineStr">
        <is>
          <t>จำนวน (บาน)</t>
        </is>
      </c>
      <c r="K1" s="33" t="inlineStr">
        <is>
          <t>พื้นที่/บาน (ตร.ม.)</t>
        </is>
      </c>
      <c r="L1" s="33" t="inlineStr">
        <is>
          <t>พื้นที่รวม (ตร.ม.)</t>
        </is>
      </c>
      <c r="M1" s="33" t="inlineStr">
        <is>
          <t>ราคาต่อบาน (บาท)</t>
        </is>
      </c>
      <c r="N1" s="33" t="inlineStr">
        <is>
          <t>รวม (บาท)</t>
        </is>
      </c>
    </row>
    <row r="2">
      <c r="A2" s="4" t="inlineStr">
        <is>
          <t>หน้าต่าง_นอน1_ตะวันตก</t>
        </is>
      </c>
      <c r="B2" s="16" t="n">
        <v>2</v>
      </c>
      <c r="C2" s="16" t="n">
        <v>1.1</v>
      </c>
      <c r="D2" s="18">
        <f>B2*C2</f>
        <v/>
      </c>
      <c r="F2" s="34" t="inlineStr">
        <is>
          <t>หน้าต่าง  ลายตารางสีดำ 4 ช่อง กระจกชาดำ</t>
        </is>
      </c>
      <c r="G2" s="16" t="n">
        <v>2</v>
      </c>
      <c r="H2" s="16" t="n">
        <v>1.1</v>
      </c>
      <c r="I2" s="34">
        <f>TEXT(G2,"0.00")&amp;" x "&amp;TEXT(H2,"0.00")&amp;" ม."</f>
        <v/>
      </c>
      <c r="J2" s="35">
        <f>COUNTIFS($B$2:$B$19,G2,$C$2:$C$19,H2)</f>
        <v/>
      </c>
      <c r="K2" s="36">
        <f>G2*H2</f>
        <v/>
      </c>
      <c r="L2" s="36">
        <f>J2*K2</f>
        <v/>
      </c>
      <c r="M2" s="102">
        <f>AVERAGEIFS('ประตู-หน้าต่าง'!$G$16:$G$33,'ประตู-หน้าต่าง'!$B$16:$B$33,G2,'ประตู-หน้าต่าง'!$C$16:$C$33,H2)</f>
        <v/>
      </c>
      <c r="N2" s="56">
        <f>IF(M2="","",J2*M2)</f>
        <v/>
      </c>
    </row>
    <row r="3">
      <c r="A3" s="4" t="inlineStr">
        <is>
          <t>หน้าต่าง_นอน1_เหนือ_1</t>
        </is>
      </c>
      <c r="B3" s="16" t="n">
        <v>0.5</v>
      </c>
      <c r="C3" s="16" t="n">
        <v>1.5</v>
      </c>
      <c r="D3" s="18">
        <f>B3*C3</f>
        <v/>
      </c>
      <c r="F3" s="34" t="inlineStr">
        <is>
          <t>หน้าต่าง  บานกระทุง ลายตารางสีดำ  กระจกชาดำ</t>
        </is>
      </c>
      <c r="G3" s="16" t="n">
        <v>0.5</v>
      </c>
      <c r="H3" s="16" t="n">
        <v>1.5</v>
      </c>
      <c r="I3" s="34">
        <f>TEXT(G3,"0.00")&amp;" x "&amp;TEXT(H3,"0.00")&amp;" ม."</f>
        <v/>
      </c>
      <c r="J3" s="35">
        <f>COUNTIFS($B$2:$B$19,G3,$C$2:$C$19,H3)</f>
        <v/>
      </c>
      <c r="K3" s="36">
        <f>G3*H3</f>
        <v/>
      </c>
      <c r="L3" s="36">
        <f>J3*K3</f>
        <v/>
      </c>
      <c r="M3" s="102">
        <f>AVERAGEIFS('ประตู-หน้าต่าง'!$G$16:$G$33,'ประตู-หน้าต่าง'!$B$16:$B$33,G3,'ประตู-หน้าต่าง'!$C$16:$C$33,H3)</f>
        <v/>
      </c>
      <c r="N3" s="56">
        <f>IF(M3="","",J3*M3)</f>
        <v/>
      </c>
    </row>
    <row r="4">
      <c r="A4" s="4" t="inlineStr">
        <is>
          <t>หน้าต่าง_นอน1_เหนือ_2</t>
        </is>
      </c>
      <c r="B4" s="16" t="n">
        <v>0.5</v>
      </c>
      <c r="C4" s="16" t="n">
        <v>1.5</v>
      </c>
      <c r="D4" s="18">
        <f>B4*C4</f>
        <v/>
      </c>
      <c r="F4" s="34" t="inlineStr">
        <is>
          <t>หน้าต่าง บานกระทุ้ง  ลายตารางสีดำ 4 ช่อง กระจกชาดำ // สั่งทำ</t>
        </is>
      </c>
      <c r="G4" s="16" t="n">
        <v>2</v>
      </c>
      <c r="H4" s="16" t="n">
        <v>1.8</v>
      </c>
      <c r="I4" s="34">
        <f>TEXT(G4,"0.00")&amp;" x "&amp;TEXT(H4,"0.00")&amp;" ม."</f>
        <v/>
      </c>
      <c r="J4" s="35">
        <f>COUNTIFS($B$2:$B$19,G4,$C$2:$C$19,H4)</f>
        <v/>
      </c>
      <c r="K4" s="36">
        <f>G4*H4</f>
        <v/>
      </c>
      <c r="L4" s="36">
        <f>J4*K4</f>
        <v/>
      </c>
      <c r="M4" s="102">
        <f>AVERAGEIFS('ประตู-หน้าต่าง'!$G$16:$G$33,'ประตู-หน้าต่าง'!$B$16:$B$33,G4,'ประตู-หน้าต่าง'!$C$16:$C$33,H4)</f>
        <v/>
      </c>
      <c r="N4" s="56">
        <f>IF(M4="","",J4*M4)</f>
        <v/>
      </c>
    </row>
    <row r="5">
      <c r="A5" s="4" t="inlineStr">
        <is>
          <t>หน้าต่าง_นอน1_ใต้</t>
        </is>
      </c>
      <c r="B5" s="16" t="n">
        <v>0.5</v>
      </c>
      <c r="C5" s="16" t="n">
        <v>1.5</v>
      </c>
      <c r="D5" s="18">
        <f>B5*C5</f>
        <v/>
      </c>
      <c r="F5" s="34" t="inlineStr">
        <is>
          <t>หน้าต่าง  ลายตารางสีดำ 2 ช่อง กระจกชาดำ</t>
        </is>
      </c>
      <c r="G5" s="16" t="n">
        <v>1.2</v>
      </c>
      <c r="H5" s="16" t="n">
        <v>1.1</v>
      </c>
      <c r="I5" s="34">
        <f>TEXT(G5,"0.00")&amp;" x "&amp;TEXT(H5,"0.00")&amp;" ม."</f>
        <v/>
      </c>
      <c r="J5" s="35">
        <f>COUNTIFS($B$2:$B$19,G5,$C$2:$C$19,H5)</f>
        <v/>
      </c>
      <c r="K5" s="36">
        <f>G5*H5</f>
        <v/>
      </c>
      <c r="L5" s="36">
        <f>J5*K5</f>
        <v/>
      </c>
      <c r="M5" s="102">
        <f>AVERAGEIFS('ประตู-หน้าต่าง'!$G$16:$G$33,'ประตู-หน้าต่าง'!$B$16:$B$33,G5,'ประตู-หน้าต่าง'!$C$16:$C$33,H5)</f>
        <v/>
      </c>
      <c r="N5" s="56">
        <f>IF(M5="","",J5*M5)</f>
        <v/>
      </c>
    </row>
    <row r="6">
      <c r="A6" s="4" t="inlineStr">
        <is>
          <t>หน้าต่าง_นอน2_ตะวันออก</t>
        </is>
      </c>
      <c r="B6" s="16" t="n">
        <v>2</v>
      </c>
      <c r="C6" s="16" t="n">
        <v>1.1</v>
      </c>
      <c r="D6" s="18">
        <f>B6*C6</f>
        <v/>
      </c>
      <c r="F6" s="34" t="inlineStr">
        <is>
          <t>หน้าต่าง บานเลื่อนเล็ก สีดำ กระจกฝ้า</t>
        </is>
      </c>
      <c r="G6" s="16" t="n">
        <v>0.8</v>
      </c>
      <c r="H6" s="16" t="n">
        <v>0.5</v>
      </c>
      <c r="I6" s="34">
        <f>TEXT(G6,"0.00")&amp;" x "&amp;TEXT(H6,"0.00")&amp;" ม."</f>
        <v/>
      </c>
      <c r="J6" s="35" t="n">
        <v>3</v>
      </c>
      <c r="K6" s="36">
        <f>G6*H6</f>
        <v/>
      </c>
      <c r="L6" s="36">
        <f>J6*K6</f>
        <v/>
      </c>
      <c r="M6" s="102">
        <f>AVERAGEIFS('ประตู-หน้าต่าง'!$G$16:$G$33,'ประตู-หน้าต่าง'!$B$16:$B$33,G6,'ประตู-หน้าต่าง'!$C$16:$C$33,H6)</f>
        <v/>
      </c>
      <c r="N6" s="56">
        <f>IF(M6="","",J6*M6)</f>
        <v/>
      </c>
    </row>
    <row r="7">
      <c r="A7" s="4" t="inlineStr">
        <is>
          <t>หน้าต่าง_นอน2_เหนือ_1</t>
        </is>
      </c>
      <c r="B7" s="16" t="n">
        <v>0.5</v>
      </c>
      <c r="C7" s="16" t="n">
        <v>1.5</v>
      </c>
      <c r="D7" s="18">
        <f>B7*C7</f>
        <v/>
      </c>
      <c r="F7" s="34" t="inlineStr">
        <is>
          <t>ประตูบานเลื่อน ลายตาราง 4 ช่อง สีดำ กระจก ชาดำ</t>
        </is>
      </c>
      <c r="G7" s="16" t="n">
        <v>2</v>
      </c>
      <c r="H7" s="16" t="n">
        <v>2</v>
      </c>
      <c r="I7" s="34">
        <f>TEXT(G7,"0.00")&amp;" x "&amp;TEXT(H7,"0.00")&amp;" ม."</f>
        <v/>
      </c>
      <c r="J7" s="35">
        <f>COUNTIFS($B$2:$B$19,G7,$C$2:$C$19,H7)</f>
        <v/>
      </c>
      <c r="K7" s="36">
        <f>G7*H7</f>
        <v/>
      </c>
      <c r="L7" s="36">
        <f>J7*K7</f>
        <v/>
      </c>
      <c r="M7" s="102">
        <f>AVERAGEIFS('ประตู-หน้าต่าง'!$G$16:$G$33,'ประตู-หน้าต่าง'!$B$16:$B$33,G7,'ประตู-หน้าต่าง'!$C$16:$C$33,H7)</f>
        <v/>
      </c>
      <c r="N7" s="56">
        <f>IF(M7="","",J7*M7)</f>
        <v/>
      </c>
    </row>
    <row r="8">
      <c r="A8" s="4" t="inlineStr">
        <is>
          <t>หน้าต่าง_นอน2_เหนือ_2</t>
        </is>
      </c>
      <c r="B8" s="16" t="n">
        <v>0.5</v>
      </c>
      <c r="C8" s="16" t="n">
        <v>1.5</v>
      </c>
      <c r="D8" s="18">
        <f>B8*C8</f>
        <v/>
      </c>
      <c r="F8" s="37" t="inlineStr">
        <is>
          <t>รวม</t>
        </is>
      </c>
      <c r="G8" s="37" t="n"/>
      <c r="H8" s="37" t="n"/>
      <c r="I8" s="37" t="n"/>
      <c r="J8" s="38">
        <f>SUM(J2:J7)</f>
        <v/>
      </c>
      <c r="K8" s="39" t="n"/>
      <c r="L8" s="39">
        <f>SUM(L2:L7)</f>
        <v/>
      </c>
      <c r="N8" s="58">
        <f>SUM(N2:N7)</f>
        <v/>
      </c>
    </row>
    <row r="9">
      <c r="A9" s="4" t="inlineStr">
        <is>
          <t>หน้าต่าง_นั่งเล่น_ตะวันออก_1</t>
        </is>
      </c>
      <c r="B9" s="16" t="n">
        <v>2</v>
      </c>
      <c r="C9" s="16" t="n">
        <v>1.8</v>
      </c>
      <c r="D9" s="18">
        <f>B9*C9</f>
        <v/>
      </c>
      <c r="F9" s="30" t="inlineStr">
        <is>
          <t>ตรวจสอบ</t>
        </is>
      </c>
      <c r="G9" s="30" t="n"/>
      <c r="H9" s="30" t="n"/>
      <c r="I9" s="30" t="n"/>
      <c r="J9" s="31">
        <f>COUNTA(A2:A19)</f>
        <v/>
      </c>
      <c r="K9" s="32" t="n"/>
      <c r="L9" s="32">
        <f>SUM(D2:D19)</f>
        <v/>
      </c>
    </row>
    <row r="10">
      <c r="A10" s="4" t="inlineStr">
        <is>
          <t>หน้าต่าง_นั่งเล่น_ตะวันออก_2</t>
        </is>
      </c>
      <c r="B10" s="16" t="n">
        <v>1.2</v>
      </c>
      <c r="C10" s="16" t="n">
        <v>1.1</v>
      </c>
      <c r="D10" s="18">
        <f>B10*C10</f>
        <v/>
      </c>
    </row>
    <row r="11">
      <c r="A11" s="4" t="inlineStr">
        <is>
          <t>หน้าต่าง_นั่งเล่น_ใต้_1</t>
        </is>
      </c>
      <c r="B11" s="16" t="n">
        <v>0.5</v>
      </c>
      <c r="C11" s="16" t="n">
        <v>1.5</v>
      </c>
      <c r="D11" s="18">
        <f>B11*C11</f>
        <v/>
      </c>
    </row>
    <row r="12">
      <c r="A12" s="4" t="inlineStr">
        <is>
          <t>หน้าต่าง_นั่งเล่น_ใต้_2</t>
        </is>
      </c>
      <c r="B12" s="16" t="n">
        <v>0.5</v>
      </c>
      <c r="C12" s="16" t="n">
        <v>1.5</v>
      </c>
      <c r="D12" s="18">
        <f>B12*C12</f>
        <v/>
      </c>
    </row>
    <row r="13">
      <c r="A13" s="4" t="inlineStr">
        <is>
          <t>หน้าต่าง_น้ำ1_เหนือ_1</t>
        </is>
      </c>
      <c r="B13" s="16" t="n">
        <v>0.8</v>
      </c>
      <c r="C13" s="16" t="n">
        <v>0.5</v>
      </c>
      <c r="D13" s="18">
        <f>B13*C13</f>
        <v/>
      </c>
    </row>
    <row r="14">
      <c r="A14" s="4" t="inlineStr">
        <is>
          <t>หน้าต่าง_น้ำ1_เหนือ_2</t>
        </is>
      </c>
      <c r="B14" s="16" t="n">
        <v>0.8</v>
      </c>
      <c r="C14" s="16" t="n">
        <v>0.5</v>
      </c>
      <c r="D14" s="18">
        <f>B14*C14</f>
        <v/>
      </c>
    </row>
    <row r="15">
      <c r="A15" s="4" t="inlineStr">
        <is>
          <t>หน้าต่าง_น้ำ2_เหนือ_1</t>
        </is>
      </c>
      <c r="B15" s="16" t="n">
        <v>0.8</v>
      </c>
      <c r="C15" s="16" t="n">
        <v>0.5</v>
      </c>
      <c r="D15" s="18">
        <f>B15*C15</f>
        <v/>
      </c>
    </row>
    <row r="16">
      <c r="A16" s="4" t="inlineStr">
        <is>
          <t>หน้าต่าง_น้ำ2_เหนือ_2</t>
        </is>
      </c>
      <c r="B16" s="16" t="n">
        <v>0.8</v>
      </c>
      <c r="C16" s="16" t="n">
        <v>0.5</v>
      </c>
      <c r="D16" s="18">
        <f>B16*C16</f>
        <v/>
      </c>
    </row>
    <row r="17">
      <c r="A17" s="4" t="inlineStr">
        <is>
          <t>หน้าต่าง_ลานหน้าบ้าน-นั่งเล่น</t>
        </is>
      </c>
      <c r="B17" s="16" t="n">
        <v>2</v>
      </c>
      <c r="C17" s="16" t="n">
        <v>2</v>
      </c>
      <c r="D17" s="18">
        <f>B17*C17</f>
        <v/>
      </c>
    </row>
    <row r="18">
      <c r="A18" s="4" t="inlineStr">
        <is>
          <t>หน้าต่าง_เก็บของ_ตะวันออก</t>
        </is>
      </c>
      <c r="B18" s="16" t="n">
        <v>0.8</v>
      </c>
      <c r="C18" s="16" t="n">
        <v>0.5</v>
      </c>
      <c r="D18" s="18">
        <f>B18*C18</f>
        <v/>
      </c>
    </row>
    <row r="19">
      <c r="A19" s="4" t="inlineStr">
        <is>
          <t>หน้าต่าง_เก็บของ_ใต้</t>
        </is>
      </c>
      <c r="B19" s="16" t="n">
        <v>0.8</v>
      </c>
      <c r="C19" s="16" t="n">
        <v>0.5</v>
      </c>
      <c r="D19" s="18">
        <f>B19*C19</f>
        <v/>
      </c>
    </row>
    <row r="22" ht="16" customHeight="1">
      <c r="A22" s="90" t="inlineStr">
        <is>
          <t>สิ่งที่ต้องซื้อ (จากชีตนี้)</t>
        </is>
      </c>
    </row>
    <row r="23">
      <c r="A23" s="85" t="inlineStr">
        <is>
          <t>รายการที่ต้องซื้อ</t>
        </is>
      </c>
      <c r="B23" s="85" t="inlineStr">
        <is>
          <t>จำนวน</t>
        </is>
      </c>
      <c r="C23" s="85" t="inlineStr">
        <is>
          <t>หน่วย</t>
        </is>
      </c>
      <c r="D23" s="85" t="inlineStr">
        <is>
          <t>หมายเหตุ</t>
        </is>
      </c>
    </row>
    <row r="24">
      <c r="A24" s="86">
        <f>F2&amp;" "&amp;I2</f>
        <v/>
      </c>
      <c r="B24" s="96">
        <f>J2</f>
        <v/>
      </c>
      <c r="C24" s="86" t="inlineStr">
        <is>
          <t>บาน</t>
        </is>
      </c>
      <c r="D24" s="89" t="n"/>
    </row>
    <row r="25">
      <c r="A25" s="86">
        <f>F3&amp;" "&amp;I3</f>
        <v/>
      </c>
      <c r="B25" s="96">
        <f>J3</f>
        <v/>
      </c>
      <c r="C25" s="86" t="inlineStr">
        <is>
          <t>บาน</t>
        </is>
      </c>
      <c r="D25" s="89" t="n"/>
    </row>
    <row r="26">
      <c r="A26" s="86">
        <f>F4&amp;" "&amp;I4</f>
        <v/>
      </c>
      <c r="B26" s="96">
        <f>J4</f>
        <v/>
      </c>
      <c r="C26" s="86" t="inlineStr">
        <is>
          <t>บาน</t>
        </is>
      </c>
      <c r="D26" s="89" t="n"/>
    </row>
    <row r="27">
      <c r="A27" s="86">
        <f>F5&amp;" "&amp;I5</f>
        <v/>
      </c>
      <c r="B27" s="96">
        <f>J5</f>
        <v/>
      </c>
      <c r="C27" s="86" t="inlineStr">
        <is>
          <t>บาน</t>
        </is>
      </c>
      <c r="D27" s="89" t="n"/>
    </row>
    <row r="28">
      <c r="A28" s="86">
        <f>F6&amp;" "&amp;I6</f>
        <v/>
      </c>
      <c r="B28" s="96">
        <f>J6</f>
        <v/>
      </c>
      <c r="C28" s="86" t="inlineStr">
        <is>
          <t>บาน</t>
        </is>
      </c>
      <c r="D28" s="89" t="inlineStr">
        <is>
          <t>จำนวนในช่อง J6 เป็นค่าที่กรอกไว้เอง</t>
        </is>
      </c>
    </row>
    <row r="29">
      <c r="A29" s="86">
        <f>F7&amp;" "&amp;I7</f>
        <v/>
      </c>
      <c r="B29" s="96">
        <f>J7</f>
        <v/>
      </c>
      <c r="C29" s="86" t="inlineStr">
        <is>
          <t>บาน</t>
        </is>
      </c>
      <c r="D29" s="89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10" defaultColWidth="8.83203125" defaultRowHeight="15"/>
  <cols>
    <col width="48" customWidth="1" min="1" max="1"/>
    <col width="14" customWidth="1" min="2" max="4"/>
    <col width="16" customWidth="1" min="5" max="5"/>
  </cols>
  <sheetData>
    <row r="1" ht="18" customHeight="1">
      <c r="A1" s="1" t="inlineStr">
        <is>
          <t>เสาและคอนกรีต</t>
        </is>
      </c>
    </row>
    <row r="3" ht="32" customHeight="1">
      <c r="A3" s="3" t="inlineStr">
        <is>
          <t>รายการ</t>
        </is>
      </c>
      <c r="B3" s="3" t="inlineStr">
        <is>
          <t>กว้าง (ม.)</t>
        </is>
      </c>
      <c r="C3" s="3" t="inlineStr">
        <is>
          <t>ยาว/สูง (ม.)</t>
        </is>
      </c>
      <c r="D3" s="3" t="inlineStr">
        <is>
          <t>จำนวน/พื้นที่</t>
        </is>
      </c>
      <c r="E3" s="3" t="inlineStr">
        <is>
          <t>ปริมาตร (ลบ.ม.)</t>
        </is>
      </c>
    </row>
    <row r="4">
      <c r="A4" s="4" t="inlineStr">
        <is>
          <t>เสา (ขนาดจากโมเดล) ต้น</t>
        </is>
      </c>
      <c r="B4" s="17" t="n">
        <v>0.144</v>
      </c>
      <c r="C4" s="17" t="n">
        <v>3.595</v>
      </c>
      <c r="D4" s="29" t="n">
        <v>19</v>
      </c>
      <c r="E4" s="18">
        <f>B4*B4*C4*D4</f>
        <v/>
      </c>
    </row>
    <row r="5">
      <c r="A5" s="4" t="inlineStr">
        <is>
          <t>พื้นคอนกรีต (พื้นที่ผิวบน × ความหนา)</t>
        </is>
      </c>
      <c r="B5" s="18">
        <f>ข้อสมมติ!$B$14</f>
        <v/>
      </c>
      <c r="C5" s="4" t="n"/>
      <c r="D5" s="18">
        <f>พื้นและกระเบื้อง!D4</f>
        <v/>
      </c>
      <c r="E5" s="18">
        <f>D5*B5</f>
        <v/>
      </c>
    </row>
    <row r="6">
      <c r="A6" s="4" t="inlineStr">
        <is>
          <t>พื้นที่ผิวนอกคานรอบบ้าน (ขอบพื้น) ตร.ม.</t>
        </is>
      </c>
      <c r="D6" s="16" t="n">
        <v>25.91</v>
      </c>
      <c r="E6" s="4" t="n"/>
    </row>
    <row r="7">
      <c r="A7" s="20" t="inlineStr">
        <is>
          <t>รวมคอนกรีตเสาและพื้น</t>
        </is>
      </c>
      <c r="B7" s="21" t="n"/>
      <c r="C7" s="21" t="n"/>
      <c r="D7" s="21" t="n"/>
      <c r="E7" s="24">
        <f>E4+E5</f>
        <v/>
      </c>
    </row>
    <row r="9">
      <c r="A9" s="2" t="inlineStr">
        <is>
          <t>ปริมาตรพื้นคิดจากพื้นที่ผิวบนทั้งหมด × 0.5 ม. ตามโมเดล ซึ่งเป็นความสูงของขอบพื้น ไม่ใช่ความหนาจริงของโครงสร้าง ใช้เป็นค่าประมาณเท่านั้น</t>
        </is>
      </c>
    </row>
    <row r="12" ht="16" customHeight="1">
      <c r="A12" s="90" t="inlineStr">
        <is>
          <t>สิ่งที่ต้องซื้อ (จากชีตนี้)</t>
        </is>
      </c>
    </row>
    <row r="13">
      <c r="A13" s="85" t="inlineStr">
        <is>
          <t>รายการที่ต้องซื้อ</t>
        </is>
      </c>
      <c r="B13" s="85" t="inlineStr">
        <is>
          <t>จำนวน</t>
        </is>
      </c>
      <c r="C13" s="85" t="inlineStr">
        <is>
          <t>หน่วย</t>
        </is>
      </c>
      <c r="D13" s="85" t="inlineStr">
        <is>
          <t>หมายเหตุ</t>
        </is>
      </c>
    </row>
    <row r="14">
      <c r="A14" s="86" t="inlineStr">
        <is>
          <t>คอนกรีตผสมเสร็จ เสา+พื้น (รวมเผื่อ)</t>
        </is>
      </c>
      <c r="B14" s="97">
        <f>E7*(1+'ปูนก่อ-ฉาบ-ทับหลัง'!$B$21)</f>
        <v/>
      </c>
      <c r="C14" s="86" t="inlineStr">
        <is>
          <t>ลบ.ม.</t>
        </is>
      </c>
      <c r="D14" s="89" t="inlineStr">
        <is>
          <t>ปริมาตรพื้นคิดจากความสูงขอบพื้น 0.5 ม. อาจเกินจริงมาก</t>
        </is>
      </c>
    </row>
    <row r="15">
      <c r="A15" s="86" t="inlineStr">
        <is>
          <t>เหล็กเสริมเสา พื้น คาน ฐานราก เสาเข็ม (ไม่มีในโมเดล)</t>
        </is>
      </c>
      <c r="B15" s="145" t="n"/>
      <c r="C15" s="86" t="inlineStr">
        <is>
          <t>เหมา</t>
        </is>
      </c>
      <c r="D15" s="89" t="inlineStr">
        <is>
          <t>วิศวกรโครงสร้างกำหนด</t>
        </is>
      </c>
    </row>
    <row r="16">
      <c r="A16" s="86" t="inlineStr">
        <is>
          <t>ไม้แบบเสา/พื้น/คาน (ไม่มีในโมเดล)</t>
        </is>
      </c>
      <c r="B16" s="145" t="n"/>
      <c r="C16" s="86" t="inlineStr">
        <is>
          <t>เหมา</t>
        </is>
      </c>
      <c r="D16" s="8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tabSelected="1" workbookViewId="0">
      <selection activeCell="F20" sqref="F20"/>
    </sheetView>
  </sheetViews>
  <sheetFormatPr baseColWidth="10" defaultColWidth="8.83203125" defaultRowHeight="15"/>
  <cols>
    <col width="64" customWidth="1" min="1" max="1"/>
    <col width="16" customWidth="1" min="2" max="2"/>
    <col width="16" customWidth="1" min="3" max="3"/>
    <col width="16" customWidth="1" min="4" max="4"/>
    <col width="52" customWidth="1" min="5" max="5"/>
  </cols>
  <sheetData>
    <row r="1" ht="18" customHeight="1">
      <c r="A1" s="128" t="inlineStr">
        <is>
          <t>พื้นที่ทาสี แยกภายนอก/ภายใน (TOA 21001 และสีภายนอก)</t>
        </is>
      </c>
    </row>
    <row r="3" ht="32" customHeight="1">
      <c r="A3" s="146" t="inlineStr">
        <is>
          <t>รายการ</t>
        </is>
      </c>
      <c r="B3" s="146" t="inlineStr">
        <is>
          <t>ภายนอก (ตร.ม.)</t>
        </is>
      </c>
      <c r="C3" s="146" t="inlineStr">
        <is>
          <t>ภายใน (ตร.ม.)</t>
        </is>
      </c>
      <c r="D3" s="146" t="inlineStr">
        <is>
          <t>รวม (ตร.ม.)</t>
        </is>
      </c>
      <c r="E3" s="146" t="inlineStr">
        <is>
          <t>หมายเหตุ</t>
        </is>
      </c>
    </row>
    <row r="4">
      <c r="A4" s="131" t="inlineStr">
        <is>
          <t>ผนังก่อด้านนอกอาคาร (ผนังนอก 9 แนว หักช่องเปิดแล้ว) ผิวนอกและผิวใน</t>
        </is>
      </c>
      <c r="B4" s="147">
        <f>SUM(ผนังก่ออิฐ!$G$4:$G$12)</f>
        <v/>
      </c>
      <c r="C4" s="147">
        <f>SUM(ผนังก่ออิฐ!$G$4:$G$12)</f>
        <v/>
      </c>
      <c r="D4" s="147">
        <f>B4+C4</f>
        <v/>
      </c>
      <c r="E4" s="143" t="inlineStr">
        <is>
          <t>ผนังนอกทาทั้งสองด้าน: ด้านนอก = ภายนอก ด้านใน = ภายใน</t>
        </is>
      </c>
    </row>
    <row r="5">
      <c r="A5" s="131" t="inlineStr">
        <is>
          <t>ผนังกั้นภายใน 2 ด้าน</t>
        </is>
      </c>
      <c r="B5" s="147" t="n">
        <v>0</v>
      </c>
      <c r="C5" s="147">
        <f>2*(SUM(ผนังก่ออิฐ!$G$13:$G$21)+ผนังก่ออิฐ!$G$24)</f>
        <v/>
      </c>
      <c r="D5" s="147">
        <f>B5+C5</f>
        <v/>
      </c>
      <c r="E5" s="143" t="inlineStr">
        <is>
          <t>ทั้งสองด้านเป็นภายใน</t>
        </is>
      </c>
    </row>
    <row r="6">
      <c r="A6" s="131" t="inlineStr">
        <is>
          <t>ผนังกั้นฝั่งลานหน้าบ้าน (ลานถือเป็นภายนอก) 2 ด้าน</t>
        </is>
      </c>
      <c r="B6" s="147">
        <f>ผนังก่ออิฐ!$G$22+ผนังก่ออิฐ!$G$23</f>
        <v/>
      </c>
      <c r="C6" s="147">
        <f>ผนังก่ออิฐ!$G$22+ผนังก่ออิฐ!$G$23</f>
        <v/>
      </c>
      <c r="D6" s="147">
        <f>B6+C6</f>
        <v/>
      </c>
      <c r="E6" s="143" t="inlineStr">
        <is>
          <t>ด้านลาน = ภายนอก ด้านห้อง = ภายใน</t>
        </is>
      </c>
    </row>
    <row r="7">
      <c r="A7" s="131" t="inlineStr">
        <is>
          <t>หัก พื้นที่กระเบื้องผนังห้องน้ำ (ไม่ทาสี)</t>
        </is>
      </c>
      <c r="B7" s="147" t="n">
        <v>0</v>
      </c>
      <c r="C7" s="147">
        <f>-พื้นและกระเบื้อง!$D$27</f>
        <v/>
      </c>
      <c r="D7" s="147">
        <f>B7+C7</f>
        <v/>
      </c>
      <c r="E7" s="143" t="inlineStr"/>
    </row>
    <row r="8">
      <c r="A8" s="131" t="inlineStr">
        <is>
          <t>คานรอบบ้าน (ขอบพื้นลงถึงดิน)</t>
        </is>
      </c>
      <c r="B8" s="147">
        <f>เสาและคอนกรีต!D6</f>
        <v/>
      </c>
      <c r="C8" s="147" t="n">
        <v>0</v>
      </c>
      <c r="D8" s="147">
        <f>B8+C8</f>
        <v/>
      </c>
      <c r="E8" s="143" t="inlineStr"/>
    </row>
    <row r="9">
      <c r="A9" s="131" t="inlineStr">
        <is>
          <t>เสา (4 ด้าน × สูง × จำนวน)</t>
        </is>
      </c>
      <c r="B9" s="147">
        <f>4*เสาและคอนกรีต!B4*เสาและคอนกรีต!C4*เสาและคอนกรีต!D4</f>
        <v/>
      </c>
      <c r="C9" s="147" t="n">
        <v>0</v>
      </c>
      <c r="D9" s="147">
        <f>B9+C9</f>
        <v/>
      </c>
      <c r="E9" s="143" t="inlineStr">
        <is>
          <t>ถือเป็นภายนอกทั้งหมด (เสาติดผนังบางส่วนอยู่ในแนวผนัง)</t>
        </is>
      </c>
    </row>
    <row r="10">
      <c r="A10" s="133" t="inlineStr">
        <is>
          <t>รวมพื้นที่ทาสี</t>
        </is>
      </c>
      <c r="B10" s="134">
        <f>SUM(B4:B9)</f>
        <v/>
      </c>
      <c r="C10" s="134">
        <f>SUM(C4:C9)</f>
        <v/>
      </c>
      <c r="D10" s="134">
        <f>SUM(D4:D9)</f>
        <v/>
      </c>
      <c r="E10" s="131" t="n"/>
    </row>
    <row r="11">
      <c r="A11" s="131" t="inlineStr">
        <is>
          <t>ตรวจสอบกับวิธีเดิม (2×ผนังสุทธิ − กระเบื้อง + คาน + เสา) ผลต่างควรเป็น 0</t>
        </is>
      </c>
      <c r="B11" s="131" t="n"/>
      <c r="C11" s="131" t="n"/>
      <c r="D11" s="148">
        <f>D10-(2*ผนังก่ออิฐ!$G$25-พื้นและกระเบื้อง!$D$27+เสาและคอนกรีต!D6+4*เสาและคอนกรีต!B4*เสาและคอนกรีต!C4*เสาและคอนกรีต!D4)</f>
        <v/>
      </c>
      <c r="E11" s="131" t="n"/>
    </row>
    <row r="12">
      <c r="A12" s="129" t="inlineStr">
        <is>
          <t>ไม่รวมผนังจั่วใต้หลังคา ผนังที่ปูกระเบื้องครัว ผนังฝ้า และการหักพื้นที่ที่เฟอร์นิเจอร์บัง</t>
        </is>
      </c>
    </row>
    <row r="13" ht="16" customHeight="1"/>
    <row r="14">
      <c r="A14" s="149" t="inlineStr">
        <is>
          <t>สิ่งที่ต้องซื้อ (จากชีตนี้)</t>
        </is>
      </c>
    </row>
    <row r="15">
      <c r="A15" s="146" t="inlineStr">
        <is>
          <t>ข้อสมมติ</t>
        </is>
      </c>
      <c r="B15" s="146" t="inlineStr">
        <is>
          <t>ค่า</t>
        </is>
      </c>
      <c r="C15" s="146" t="inlineStr"/>
      <c r="D15" s="146" t="inlineStr"/>
      <c r="E15" s="146" t="inlineStr">
        <is>
          <t>หมายเหตุ</t>
        </is>
      </c>
    </row>
    <row r="16">
      <c r="A16" s="131" t="inlineStr">
        <is>
          <t>จำนวนเที่ยวทาสีภายใน (เที่ยว)</t>
        </is>
      </c>
      <c r="B16" s="150" t="n">
        <v>2</v>
      </c>
      <c r="C16" s="131" t="n"/>
      <c r="D16" s="131" t="n"/>
      <c r="E16" s="143" t="inlineStr">
        <is>
          <t>ค่าสมมติ</t>
        </is>
      </c>
    </row>
    <row r="17">
      <c r="A17" s="131" t="inlineStr">
        <is>
          <t>จำนวนเที่ยวทาสีภายนอก (เที่ยว)</t>
        </is>
      </c>
      <c r="B17" s="150" t="n">
        <v>2</v>
      </c>
      <c r="C17" s="131" t="n"/>
      <c r="D17" s="131" t="n"/>
      <c r="E17" s="143" t="inlineStr">
        <is>
          <t>ค่าสมมติ</t>
        </is>
      </c>
    </row>
    <row r="18">
      <c r="A18" s="131" t="inlineStr">
        <is>
          <t>พื้นที่ทาได้ต่อลิตร สีภายใน (ตร.ม./ลิตร)</t>
        </is>
      </c>
      <c r="B18" s="151" t="n">
        <v>9.199999999999999</v>
      </c>
      <c r="C18" s="131" t="n"/>
      <c r="D18" s="131" t="n"/>
      <c r="E18" s="143" t="inlineStr">
        <is>
          <t>เดิม 35 ตร.ม./แกลลอน 3.785 ลิตร ≈ 9.2</t>
        </is>
      </c>
    </row>
    <row r="19">
      <c r="A19" s="131" t="inlineStr">
        <is>
          <t>พื้นที่ทาได้ต่อลิตร สีภายนอก (ตร.ม./ลิตร)</t>
        </is>
      </c>
      <c r="B19" s="151" t="n">
        <v>8</v>
      </c>
      <c r="C19" s="131" t="n"/>
      <c r="D19" s="131" t="n"/>
      <c r="E19" s="143" t="inlineStr">
        <is>
          <t>ผิวนอกขรุขระกว่า ใช้ต่ำกว่า</t>
        </is>
      </c>
    </row>
    <row r="20">
      <c r="A20" s="131" t="inlineStr">
        <is>
          <t>จำนวนเที่ยวรองพื้นปูนใหม่ (เที่ยว)</t>
        </is>
      </c>
      <c r="B20" s="150" t="n">
        <v>1</v>
      </c>
      <c r="C20" s="131" t="n"/>
      <c r="D20" s="131" t="n"/>
      <c r="E20" s="143" t="inlineStr"/>
    </row>
    <row r="21">
      <c r="A21" s="131" t="inlineStr">
        <is>
          <t>พื้นที่รองพื้นได้ต่อลิตร (ตร.ม./ลิตร)</t>
        </is>
      </c>
      <c r="B21" s="151" t="n">
        <v>8</v>
      </c>
      <c r="C21" s="131" t="n"/>
      <c r="D21" s="131" t="n"/>
      <c r="E21" s="143" t="inlineStr">
        <is>
          <t>เดิม 30 ตร.ม./แกลลอน ≈ 8</t>
        </is>
      </c>
    </row>
    <row r="22">
      <c r="A22" s="131" t="inlineStr">
        <is>
          <t>ขนาดแพ็กที่ซื้อ ถังใหญ่ (ลิตร)</t>
        </is>
      </c>
      <c r="B22" s="150" t="n">
        <v>9</v>
      </c>
      <c r="C22" s="131" t="n"/>
      <c r="D22" s="131" t="n"/>
      <c r="E22" s="143" t="inlineStr">
        <is>
          <t>ซื้อแพ็กใหญ่ 9 ลิตร (ถ้าเปลี่ยนไปซื้อ 3 ลิตร ให้แก้เป็น 3)</t>
        </is>
      </c>
    </row>
    <row r="23">
      <c r="A23" s="146" t="inlineStr">
        <is>
          <t>ปริมาณสีที่ต้องใช้</t>
        </is>
      </c>
      <c r="B23" s="146" t="inlineStr">
        <is>
          <t>ลิตร</t>
        </is>
      </c>
      <c r="C23" s="146" t="inlineStr"/>
      <c r="D23" s="146" t="inlineStr"/>
      <c r="E23" s="146" t="inlineStr">
        <is>
          <t>หมายเหตุ</t>
        </is>
      </c>
    </row>
    <row r="24">
      <c r="A24" s="131" t="inlineStr">
        <is>
          <t>สีทาภายใน</t>
        </is>
      </c>
      <c r="B24" s="152">
        <f>ROUNDUP(C10*$B$16/$B$18,1)</f>
        <v/>
      </c>
      <c r="C24" s="131" t="n"/>
      <c r="D24" s="131" t="n"/>
      <c r="E24" s="131" t="n"/>
    </row>
    <row r="25">
      <c r="A25" s="131" t="inlineStr">
        <is>
          <t>สีทาภายนอก</t>
        </is>
      </c>
      <c r="B25" s="152">
        <f>ROUNDUP(B10*$B$17/$B$19,1)</f>
        <v/>
      </c>
      <c r="C25" s="131" t="n"/>
      <c r="D25" s="131" t="n"/>
      <c r="E25" s="131" t="n"/>
    </row>
    <row r="26">
      <c r="A26" s="131" t="inlineStr">
        <is>
          <t>สีรองพื้นภายใน</t>
        </is>
      </c>
      <c r="B26" s="152">
        <f>ROUNDUP(C10*$B$20/$B$21,1)</f>
        <v/>
      </c>
      <c r="C26" s="131" t="n"/>
      <c r="D26" s="131" t="n"/>
      <c r="E26" s="131" t="n"/>
    </row>
    <row r="27">
      <c r="A27" s="131" t="inlineStr">
        <is>
          <t>สีรองพื้นภายนอก</t>
        </is>
      </c>
      <c r="B27" s="152">
        <f>ROUNDUP(B10*$B$20/$B$21,1)</f>
        <v/>
      </c>
      <c r="C27" s="131" t="n"/>
      <c r="D27" s="131" t="n"/>
      <c r="E27" s="131" t="n"/>
    </row>
    <row r="28">
      <c r="A28" s="146" t="inlineStr">
        <is>
          <t>รายการที่ต้องซื้อ</t>
        </is>
      </c>
      <c r="B28" s="146" t="inlineStr">
        <is>
          <t>จำนวน</t>
        </is>
      </c>
      <c r="C28" s="146" t="inlineStr">
        <is>
          <t>หน่วย</t>
        </is>
      </c>
      <c r="D28" s="146" t="inlineStr">
        <is>
          <t>หมายเหตุ</t>
        </is>
      </c>
      <c r="E28" s="146" t="inlineStr"/>
    </row>
    <row r="29">
      <c r="A29" s="131">
        <f>"สีทาภายใน TOA 21001 ถังใหญ่ "&amp;$B$22&amp;" ลิตร"</f>
        <v/>
      </c>
      <c r="B29" s="153">
        <f>ROUNDUP($B$24/$B$22,0)</f>
        <v/>
      </c>
      <c r="C29" s="131" t="inlineStr">
        <is>
          <t>ถัง</t>
        </is>
      </c>
      <c r="D29" s="143" t="inlineStr">
        <is>
          <t>ซื้อแพ็กใหญ่ ปัดขึ้นเป็นถัง</t>
        </is>
      </c>
    </row>
    <row r="30">
      <c r="A30" s="131">
        <f>"สีรองพื้นปูนใหม่ ภายใน ถังใหญ่ "&amp;$B$22&amp;" ลิตร"</f>
        <v/>
      </c>
      <c r="B30" s="153">
        <f>ROUNDUP($B$26/$B$22,0)</f>
        <v/>
      </c>
      <c r="C30" s="131" t="inlineStr">
        <is>
          <t>ถัง</t>
        </is>
      </c>
      <c r="D30" s="143" t="inlineStr">
        <is>
          <t>ซื้อแพ็กใหญ่ ปัดขึ้นเป็นถัง</t>
        </is>
      </c>
    </row>
    <row r="31">
      <c r="A31" s="131">
        <f>"สีทาภายนอก (สีทนสภาพอากาศ ยี่ห้อ/เบอร์ตามที่เลือก) ถังใหญ่ "&amp;$B$22&amp;" ลิตร"</f>
        <v/>
      </c>
      <c r="B31" s="153">
        <f>ROUNDUP($B$25/$B$22,0)</f>
        <v/>
      </c>
      <c r="C31" s="131" t="inlineStr">
        <is>
          <t>ถัง</t>
        </is>
      </c>
      <c r="D31" s="143" t="inlineStr">
        <is>
          <t>ซื้อแพ็กใหญ่ ปัดขึ้นเป็นถัง</t>
        </is>
      </c>
    </row>
    <row r="32">
      <c r="A32" s="131">
        <f>"สีรองพื้นปูนใหม่ ภายนอก ถังใหญ่ "&amp;$B$22&amp;" ลิตร"</f>
        <v/>
      </c>
      <c r="B32" s="153">
        <f>ROUNDUP($B$27/$B$22,0)</f>
        <v/>
      </c>
      <c r="C32" s="131" t="inlineStr">
        <is>
          <t>ถัง</t>
        </is>
      </c>
      <c r="D32" s="143" t="inlineStr">
        <is>
          <t>ซื้อแพ็กใหญ่ ปัดขึ้นเป็นถัง</t>
        </is>
      </c>
    </row>
    <row r="33">
      <c r="A33" s="131" t="inlineStr">
        <is>
          <t>อุปกรณ์ทาสี (ลูกกลิ้ง แปรง เทปกาว ผ้าคลุม)</t>
        </is>
      </c>
      <c r="B33" s="153" t="n"/>
      <c r="C33" s="131" t="inlineStr">
        <is>
          <t>เหมา</t>
        </is>
      </c>
      <c r="D33" s="143" t="inlineStr"/>
    </row>
    <row r="35">
      <c r="A35" s="129" t="inlineStr">
        <is>
          <t>จำนวนถัง = ลิตรที่ต้องใช้ ÷ ขนาดแพ็ก ปัดขึ้น (ปรับขนาดแพ็กได้ในช่องข้อสมมติด้านบน)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0" sqref="A10"/>
    </sheetView>
  </sheetViews>
  <sheetFormatPr baseColWidth="10" defaultColWidth="8.83203125" defaultRowHeight="15"/>
  <cols>
    <col width="48" customWidth="1" min="1" max="1"/>
    <col width="16" customWidth="1" min="2" max="4"/>
  </cols>
  <sheetData>
    <row r="1" ht="18" customHeight="1">
      <c r="A1" s="42" t="inlineStr">
        <is>
          <t>อุปกรณ์ไฟฟ้า (นับจากโมเดล v413)</t>
        </is>
      </c>
    </row>
    <row r="3">
      <c r="A3" s="43" t="inlineStr">
        <is>
          <t>รายการ</t>
        </is>
      </c>
      <c r="B3" s="43" t="inlineStr">
        <is>
          <t>จุดติดตั้ง/บล็อก</t>
        </is>
      </c>
      <c r="C3" s="43" t="inlineStr">
        <is>
          <t>เต้ารับเสียบได้</t>
        </is>
      </c>
      <c r="D3" s="43" t="inlineStr">
        <is>
          <t>กลไกสวิตช์</t>
        </is>
      </c>
    </row>
    <row r="4">
      <c r="A4" s="40" t="inlineStr">
        <is>
          <t>เต้ารับคู่มีสายดิน ภายในบ้าน</t>
        </is>
      </c>
      <c r="B4" s="44" t="n">
        <v>14</v>
      </c>
      <c r="C4" s="44" t="n">
        <v>28</v>
      </c>
      <c r="D4" s="44" t="n">
        <v>0</v>
      </c>
    </row>
    <row r="5">
      <c r="A5" s="40" t="inlineStr">
        <is>
          <t>เต้ารับคู่มีสายดิน ภายนอกพร้อมฝาปิด</t>
        </is>
      </c>
      <c r="B5" s="44" t="n">
        <v>3</v>
      </c>
      <c r="C5" s="44" t="n">
        <v>6</v>
      </c>
      <c r="D5" s="44" t="n">
        <v>0</v>
      </c>
    </row>
    <row r="6">
      <c r="A6" s="40" t="inlineStr">
        <is>
          <t>เต้ารับ 4 ช่อง ผนังข้าง C8</t>
        </is>
      </c>
      <c r="B6" s="44" t="n">
        <v>1</v>
      </c>
      <c r="C6" s="44" t="n">
        <v>4</v>
      </c>
      <c r="D6" s="44" t="n">
        <v>0</v>
      </c>
    </row>
    <row r="7">
      <c r="A7" s="40" t="inlineStr">
        <is>
          <t>เต้ารับเดี่ยวในกล่องปิด CCTV P2/P3</t>
        </is>
      </c>
      <c r="B7" s="44" t="n">
        <v>2</v>
      </c>
      <c r="C7" s="44" t="n">
        <v>2</v>
      </c>
      <c r="D7" s="44" t="n">
        <v>0</v>
      </c>
    </row>
    <row r="8">
      <c r="A8" s="40" t="inlineStr">
        <is>
          <t>ชุดสวิตช์ 3 ปุ่ม</t>
        </is>
      </c>
      <c r="B8" s="44" t="n">
        <v>6</v>
      </c>
      <c r="C8" s="44" t="n">
        <v>0</v>
      </c>
      <c r="D8" s="44" t="n">
        <v>18</v>
      </c>
    </row>
    <row r="9">
      <c r="A9" s="40" t="inlineStr">
        <is>
          <t>ชุดสวิตช์ 2 ปุ่ม</t>
        </is>
      </c>
      <c r="B9" s="44" t="n">
        <v>5</v>
      </c>
      <c r="C9" s="44" t="n">
        <v>0</v>
      </c>
      <c r="D9" s="44" t="n">
        <v>10</v>
      </c>
    </row>
    <row r="10">
      <c r="A10" s="40" t="inlineStr">
        <is>
          <t>กล่องต่อสายฝาทึบ (แอร์3 น้ำอุ่น2 ปั๊ม1 EV1)</t>
        </is>
      </c>
      <c r="B10" s="44" t="n">
        <v>7</v>
      </c>
      <c r="C10" s="44" t="n">
        <v>0</v>
      </c>
      <c r="D10" s="44" t="n">
        <v>0</v>
      </c>
    </row>
    <row r="11">
      <c r="A11" s="40" t="inlineStr">
        <is>
          <t>ช่องเสาอากาศทีวี</t>
        </is>
      </c>
      <c r="B11" s="44" t="n">
        <v>1</v>
      </c>
      <c r="C11" s="44" t="n">
        <v>0</v>
      </c>
      <c r="D11" s="44" t="n">
        <v>0</v>
      </c>
    </row>
    <row r="12">
      <c r="A12" s="45" t="inlineStr">
        <is>
          <t>รวม</t>
        </is>
      </c>
      <c r="B12" s="46">
        <f>SUM(B4:B11)</f>
        <v/>
      </c>
      <c r="C12" s="46">
        <f>SUM(C4:C11)</f>
        <v/>
      </c>
      <c r="D12" s="46">
        <f>SUM(D4:D11)</f>
        <v/>
      </c>
    </row>
    <row r="14">
      <c r="A14" s="40" t="inlineStr">
        <is>
          <t>โคมไฟ (จุด) ไม่รวมโคมห้อยโต๊ะ</t>
        </is>
      </c>
      <c r="B14" s="47" t="n">
        <v>34</v>
      </c>
      <c r="C14" s="40" t="n"/>
      <c r="D14" s="40" t="n"/>
    </row>
    <row r="15">
      <c r="A15" s="40" t="inlineStr">
        <is>
          <t>ตู้คอนซูมเมอร์ยูนิต 18 ช่อง (ใช้ 16 สำรอง 2)</t>
        </is>
      </c>
      <c r="B15" s="47" t="n">
        <v>1</v>
      </c>
      <c r="C15" s="40" t="n"/>
      <c r="D15" s="40" t="n"/>
    </row>
    <row r="16">
      <c r="A16" s="40" t="inlineStr">
        <is>
          <t>โคมห้อยโต๊ะทานข้าว 3 หัว (ชุด) รวมเป็นโคมทั้งหมด 37 จุดแสง</t>
        </is>
      </c>
      <c r="B16" s="47" t="n">
        <v>1</v>
      </c>
    </row>
    <row r="17">
      <c r="A17" s="48" t="inlineStr">
        <is>
          <t>ยังไม่รวมสายไฟ ท่อร้อยสาย ราง เบรกเกอร์ ขนาดและจำนวนต้องให้ผู้ออกแบบไฟฟ้ากำหนด</t>
        </is>
      </c>
    </row>
    <row r="18">
      <c r="A18" s="48" t="inlineStr">
        <is>
          <t>สวิตช์ไฟห้องน้ำ 2 เป็นแบบ 2 ทาง (2 ตัว) ต้องเลือกสวิตช์ 2 ทางและเดินสายเดินทาง รวมในยอดชุดสวิตช์ 2 ปุ่ม 5 ชุดแล้ว</t>
        </is>
      </c>
    </row>
    <row r="19">
      <c r="A19" s="135" t="inlineStr">
        <is>
          <t>สวิตช์ 3 ปุ่มข้างเสา C15 (ในบ้าน) จับคู่ 2 ทางกับสวิตช์ 3 ปุ่มหน้าบ้านเหนือเต้ารับลานหน้า (กันน้ำ IP55) ใช้สวิตช์ 2 ทางทั้ง 3 ปุ่ม + สายเดินทาง 6 เส้น รวมในยอดชุดสวิตช์ 3 ปุ่ม 6 ชุดแล้ว</t>
        </is>
      </c>
    </row>
    <row r="20">
      <c r="A20" s="48" t="inlineStr">
        <is>
          <t>เสาอากาศทีวี (ดูพิมพ์เขียว A-06) — ยังไม่รวมสายดินและตัวป้องกันฟ้าผ่า ต้องให้ช่างไฟกำหนด</t>
        </is>
      </c>
    </row>
    <row r="21">
      <c r="A21" s="40" t="inlineStr">
        <is>
          <t>เสาอากาศทีวีดิจิทัล UHF แบบยากี 13 ชิ้นส่วน (ติดชายคาตะวันออก แนว P4)</t>
        </is>
      </c>
      <c r="B21" s="47" t="n">
        <v>1</v>
      </c>
      <c r="C21" s="40" t="inlineStr">
        <is>
          <t>ชุด</t>
        </is>
      </c>
    </row>
    <row r="22">
      <c r="A22" s="40" t="inlineStr">
        <is>
          <t>ท่อเหล็กดำ Ø42 มม. โค้งยึดขอบชายคา (วัดจากโมเดล)</t>
        </is>
      </c>
      <c r="B22" s="47" t="n">
        <v>1.83</v>
      </c>
      <c r="C22" s="40" t="inlineStr">
        <is>
          <t>ม.</t>
        </is>
      </c>
    </row>
    <row r="23">
      <c r="A23" s="40" t="inlineStr">
        <is>
          <t>สายโคแอกเชียล RG6 (วัดจากโมเดล ยังไม่รวมเผื่อ/หัว F)</t>
        </is>
      </c>
      <c r="B23" s="47" t="n">
        <v>11.43</v>
      </c>
      <c r="C23" s="40" t="inlineStr">
        <is>
          <t>ม.</t>
        </is>
      </c>
    </row>
    <row r="24">
      <c r="A24" s="40" t="inlineStr">
        <is>
          <t>แคลมป์ยึดขอบชายคา + กล่องกลอนสาย + ยางร้อยสายผ่านฝ้า</t>
        </is>
      </c>
      <c r="B24" s="47" t="n">
        <v>1</v>
      </c>
      <c r="C24" s="40" t="inlineStr">
        <is>
          <t>ชุด</t>
        </is>
      </c>
    </row>
    <row r="27" ht="16" customHeight="1">
      <c r="A27" s="90" t="inlineStr">
        <is>
          <t>สิ่งที่ต้องซื้อ (จากชีตนี้)</t>
        </is>
      </c>
    </row>
    <row r="28">
      <c r="A28" s="85" t="inlineStr">
        <is>
          <t>รายการที่ต้องซื้อ</t>
        </is>
      </c>
      <c r="B28" s="85" t="inlineStr">
        <is>
          <t>จำนวน</t>
        </is>
      </c>
      <c r="C28" s="85" t="inlineStr">
        <is>
          <t>หน่วย</t>
        </is>
      </c>
      <c r="D28" s="85" t="inlineStr">
        <is>
          <t>หมายเหตุ</t>
        </is>
      </c>
    </row>
    <row r="29">
      <c r="A29" s="86" t="inlineStr">
        <is>
          <t>เต้ารับคู่มีสายดิน (ใน+นอกบ้าน ฝาปิดกันน้ำภายนอก 3)</t>
        </is>
      </c>
      <c r="B29" s="96">
        <f>B4+B5</f>
        <v/>
      </c>
      <c r="C29" s="86" t="inlineStr">
        <is>
          <t>ชุด</t>
        </is>
      </c>
      <c r="D29" s="89" t="n"/>
    </row>
    <row r="30">
      <c r="A30" s="86" t="inlineStr">
        <is>
          <t>เต้ารับ 4 ช่อง</t>
        </is>
      </c>
      <c r="B30" s="96">
        <f>B6</f>
        <v/>
      </c>
      <c r="C30" s="86" t="inlineStr">
        <is>
          <t>ชุด</t>
        </is>
      </c>
      <c r="D30" s="89" t="n"/>
    </row>
    <row r="31">
      <c r="A31" s="86" t="inlineStr">
        <is>
          <t>เต้ารับเดี่ยวในกล่องปิด CCTV</t>
        </is>
      </c>
      <c r="B31" s="96">
        <f>B7</f>
        <v/>
      </c>
      <c r="C31" s="86" t="inlineStr">
        <is>
          <t>ชุด</t>
        </is>
      </c>
      <c r="D31" s="89" t="n"/>
    </row>
    <row r="32">
      <c r="A32" s="86" t="inlineStr">
        <is>
          <t>ชุดสวิตช์ 3 ปุ่ม (รวมสวิตช์ 2 ทางคู่ C15 ในบ้าน + หน้าบ้าน 2 ตัว)</t>
        </is>
      </c>
      <c r="B32" s="96">
        <f>B8</f>
        <v/>
      </c>
      <c r="C32" s="86" t="inlineStr">
        <is>
          <t>ชุด</t>
        </is>
      </c>
      <c r="D32" s="155" t="inlineStr">
        <is>
          <t>ตัวหน้าบ้านต้องใช้ชนิดกันน้ำ/กล่องครอบ IP55 (ดูแถวล่าง)</t>
        </is>
      </c>
    </row>
    <row r="33">
      <c r="A33" s="86" t="inlineStr">
        <is>
          <t>ชุดสวิตช์ 2 ปุ่ม (รวมสวิตช์ 2 ทางห้องน้ำ 2 จำนวน 2 ตัว)</t>
        </is>
      </c>
      <c r="B33" s="96">
        <f>B9</f>
        <v/>
      </c>
      <c r="C33" s="86" t="inlineStr">
        <is>
          <t>ชุด</t>
        </is>
      </c>
      <c r="D33" s="89" t="n"/>
    </row>
    <row r="34">
      <c r="A34" s="86" t="inlineStr">
        <is>
          <t>กล่องต่อสายฝาทึบ (แอร์ น้ำอุ่น ปั๊ม EV)</t>
        </is>
      </c>
      <c r="B34" s="96">
        <f>B10</f>
        <v/>
      </c>
      <c r="C34" s="86" t="inlineStr">
        <is>
          <t>ชุด</t>
        </is>
      </c>
      <c r="D34" s="89" t="n"/>
    </row>
    <row r="35">
      <c r="A35" s="86" t="inlineStr">
        <is>
          <t>ช่องเสาอากาศทีวี</t>
        </is>
      </c>
      <c r="B35" s="96">
        <f>B11</f>
        <v/>
      </c>
      <c r="C35" s="86" t="inlineStr">
        <is>
          <t>ชุด</t>
        </is>
      </c>
      <c r="D35" s="89" t="n"/>
    </row>
    <row r="36">
      <c r="A36" s="86" t="inlineStr">
        <is>
          <t>โคมซาลาเปา (ติดเพดาน)</t>
        </is>
      </c>
      <c r="B36" s="98" t="n">
        <v>9</v>
      </c>
      <c r="C36" s="86" t="inlineStr">
        <is>
          <t>ชุด</t>
        </is>
      </c>
      <c r="D36" s="89" t="inlineStr">
        <is>
          <t>นับจากโมเดล</t>
        </is>
      </c>
    </row>
    <row r="37">
      <c r="A37" s="86" t="inlineStr">
        <is>
          <t>ดาวน์ไลท์/ไฟหลุม (รวมไฟหลุมลานหน้า 6 ดวง)</t>
        </is>
      </c>
      <c r="B37" s="98" t="n">
        <v>13</v>
      </c>
      <c r="C37" s="86" t="inlineStr">
        <is>
          <t>ชุด</t>
        </is>
      </c>
      <c r="D37" s="155" t="inlineStr">
        <is>
          <t>ไฟหลุมลานหน้า 6 ดวง ติดฝ้าลอนลายไม้ แบ่ง 3/3 ต้องเลือกรุ่นที่ติดตั้งในฝ้าลอนได้/กันน้ำภายนอก</t>
        </is>
      </c>
    </row>
    <row r="38">
      <c r="A38" s="86" t="inlineStr">
        <is>
          <t>โคมห้อย (ห้องนอน)</t>
        </is>
      </c>
      <c r="B38" s="98" t="n">
        <v>2</v>
      </c>
      <c r="C38" s="86" t="inlineStr">
        <is>
          <t>ชุด</t>
        </is>
      </c>
      <c r="D38" s="89" t="n"/>
    </row>
    <row r="39">
      <c r="A39" s="86" t="inlineStr">
        <is>
          <t>ไฟผนัง (รวมไฟกล่องดำส่องขึ้น-ลงข้างประตูหลัก 2 ดวง)</t>
        </is>
      </c>
      <c r="B39" s="98" t="n">
        <v>8</v>
      </c>
      <c r="C39" s="86" t="inlineStr">
        <is>
          <t>ชุด</t>
        </is>
      </c>
      <c r="D39" s="155" t="inlineStr">
        <is>
          <t>ไฟข้างประตู = กล่องดำสี่เหลี่ยม 2 หน้าแสง ต้องเลือกรุ่นกันน้ำภายนอก (IP54 ขึ้นไป)</t>
        </is>
      </c>
    </row>
    <row r="40">
      <c r="A40" s="86" t="inlineStr">
        <is>
          <t>ไฟยาว (บาร์)</t>
        </is>
      </c>
      <c r="B40" s="98" t="n">
        <v>2</v>
      </c>
      <c r="C40" s="86" t="inlineStr">
        <is>
          <t>ชุด</t>
        </is>
      </c>
      <c r="D40" s="89" t="inlineStr">
        <is>
          <t>รวม 5 ชนิด = 34 จุด ตรงกับ B14</t>
        </is>
      </c>
    </row>
    <row r="41">
      <c r="A41" s="86" t="inlineStr">
        <is>
          <t>โคมห้อยโต๊ะทานข้าว 3 หัว</t>
        </is>
      </c>
      <c r="B41" s="96">
        <f>B16</f>
        <v/>
      </c>
      <c r="C41" s="86" t="inlineStr">
        <is>
          <t>ชุด</t>
        </is>
      </c>
      <c r="D41" s="89" t="n"/>
    </row>
    <row r="42">
      <c r="A42" s="86" t="inlineStr">
        <is>
          <t>ตู้คอนซูมเมอร์ยูนิต 18 ช่อง</t>
        </is>
      </c>
      <c r="B42" s="96">
        <f>B15</f>
        <v/>
      </c>
      <c r="C42" s="86" t="inlineStr">
        <is>
          <t>ตู้</t>
        </is>
      </c>
      <c r="D42" s="89" t="inlineStr">
        <is>
          <t>เบรกเกอร์ย่อยแยกซื้อตามวงจร</t>
        </is>
      </c>
    </row>
    <row r="43">
      <c r="A43" s="86" t="inlineStr">
        <is>
          <t>เสาอากาศทีวีดิจิทัล UHF แบบยากี</t>
        </is>
      </c>
      <c r="B43" s="96">
        <f>B21</f>
        <v/>
      </c>
      <c r="C43" s="86" t="inlineStr">
        <is>
          <t>ชุด</t>
        </is>
      </c>
      <c r="D43" s="89" t="n"/>
    </row>
    <row r="44">
      <c r="A44" s="86" t="inlineStr">
        <is>
          <t>ท่อเหล็กดำ Ø42 มม. ยึดเสาอากาศ</t>
        </is>
      </c>
      <c r="B44" s="99">
        <f>B22</f>
        <v/>
      </c>
      <c r="C44" s="86" t="inlineStr">
        <is>
          <t>ม.</t>
        </is>
      </c>
      <c r="D44" s="89" t="n"/>
    </row>
    <row r="45">
      <c r="A45" s="86" t="inlineStr">
        <is>
          <t>สายโคแอกเชียล RG6</t>
        </is>
      </c>
      <c r="B45" s="94">
        <f>B23</f>
        <v/>
      </c>
      <c r="C45" s="86" t="inlineStr">
        <is>
          <t>ม.</t>
        </is>
      </c>
      <c r="D45" s="89" t="inlineStr">
        <is>
          <t>ยังไม่รวมเผื่อ/หัว F</t>
        </is>
      </c>
    </row>
    <row r="46">
      <c r="A46" s="86" t="inlineStr">
        <is>
          <t>แคลมป์ยึดขอบชายคา + กล่องกลอนสาย + ยางร้อยสายผ่านฝ้า</t>
        </is>
      </c>
      <c r="B46" s="96">
        <f>B24</f>
        <v/>
      </c>
      <c r="C46" s="86" t="inlineStr">
        <is>
          <t>ชุด</t>
        </is>
      </c>
      <c r="D46" s="89" t="n"/>
    </row>
    <row r="47">
      <c r="A47" s="86" t="inlineStr">
        <is>
          <t>ท่อร้อยสาย (แขนง+ท่อเชื่อมผนัง) วัดจากโมเดล</t>
        </is>
      </c>
      <c r="B47" s="100" t="n">
        <v>98.40000000000001</v>
      </c>
      <c r="C47" s="86" t="inlineStr">
        <is>
          <t>ม.</t>
        </is>
      </c>
      <c r="D47" s="89" t="inlineStr">
        <is>
          <t>เจตนาเบื้องต้น ช่างไฟกำหนดชนิด/ขนาด</t>
        </is>
      </c>
    </row>
    <row r="48">
      <c r="A48" s="86" t="inlineStr">
        <is>
          <t>รางสายเหนือฝ้า (รางหลัก 39.9 + รางย่อย 69.9 ม.) วัดจากโมเดล</t>
        </is>
      </c>
      <c r="B48" s="100" t="n">
        <v>109.8</v>
      </c>
      <c r="C48" s="86" t="inlineStr">
        <is>
          <t>ม.</t>
        </is>
      </c>
      <c r="D48" s="89" t="n"/>
    </row>
    <row r="49">
      <c r="A49" s="86" t="inlineStr">
        <is>
          <t>สายไฟ เบรกเกอร์ ข้อต่อ และอุปกรณ์ติดตั้ง (ไม่มีปริมาณในโมเดล)</t>
        </is>
      </c>
      <c r="B49" s="145" t="n"/>
      <c r="C49" s="86" t="inlineStr">
        <is>
          <t>เหมา</t>
        </is>
      </c>
      <c r="D49" s="89" t="inlineStr">
        <is>
          <t>ต้องให้ช่างไฟกำหนด</t>
        </is>
      </c>
    </row>
    <row r="50">
      <c r="A50" s="106" t="inlineStr">
        <is>
          <t>ชุดครอบ/กล่องกันน้ำ IP55 สำหรับสวิตช์ 3 ปุ่มหน้าบ้าน (เหนือเต้ารับลานหน้า)</t>
        </is>
      </c>
      <c r="B50" s="154" t="n">
        <v>1</v>
      </c>
      <c r="C50" s="106" t="inlineStr">
        <is>
          <t>ชุด</t>
        </is>
      </c>
      <c r="D50" s="118" t="inlineStr">
        <is>
          <t>ขนาดกล่องต้องตรงกับชุดสวิตช์ 3 ปุ่มที่เลือก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topLeftCell="A6" zoomScale="165" workbookViewId="0">
      <selection activeCell="A1" sqref="A1"/>
    </sheetView>
  </sheetViews>
  <sheetFormatPr baseColWidth="10" defaultColWidth="8.83203125" defaultRowHeight="15"/>
  <cols>
    <col width="52" customWidth="1" min="1" max="1"/>
    <col width="14" customWidth="1" min="2" max="3"/>
    <col width="18" customWidth="1" min="4" max="4"/>
    <col width="14" customWidth="1" min="5" max="5"/>
  </cols>
  <sheetData>
    <row r="1" ht="18" customHeight="1">
      <c r="A1" s="42" t="inlineStr">
        <is>
          <t>ท่อน้ำดี น้ำทิ้ง โสโครก และอุปกรณ์ (วัดจากโมเดล v413)</t>
        </is>
      </c>
    </row>
    <row r="2">
      <c r="G2" t="inlineStr">
        <is>
          <t>เผื่อ</t>
        </is>
      </c>
      <c r="H2" s="49" t="n">
        <v>0.1</v>
      </c>
    </row>
    <row r="3" ht="29" customHeight="1">
      <c r="A3" s="43" t="inlineStr">
        <is>
          <t>ระบบ / ขนาด</t>
        </is>
      </c>
      <c r="B3" s="43" t="inlineStr">
        <is>
          <t>ความยาวจากโมเดล (ม.)</t>
        </is>
      </c>
      <c r="C3" s="43" t="inlineStr">
        <is>
          <t>เผื่อตัด/ข้อต่อ</t>
        </is>
      </c>
      <c r="D3" s="43" t="inlineStr">
        <is>
          <t>ความยาวรวม (ม.)</t>
        </is>
      </c>
      <c r="E3" s="43" t="inlineStr">
        <is>
          <t>ท่อน (4 ม.)</t>
        </is>
      </c>
    </row>
    <row r="4">
      <c r="A4" s="40" t="inlineStr">
        <is>
          <t>ท่อน้ำดี Ø25 มม. (เส้นผ่านศูนย์กลางตามโมเดล)</t>
        </is>
      </c>
      <c r="B4" s="50" t="n">
        <v>12.37</v>
      </c>
      <c r="C4" s="51">
        <f>$H$2</f>
        <v/>
      </c>
      <c r="D4" s="52">
        <f>B4*(1+C4)</f>
        <v/>
      </c>
      <c r="E4" s="53">
        <f>ROUNDUP(D4/4,0)</f>
        <v/>
      </c>
    </row>
    <row r="5">
      <c r="A5" s="40" t="inlineStr">
        <is>
          <t>ท่อน้ำดี Ø28 มม. (เส้นผ่านศูนย์กลางตามโมเดล)</t>
        </is>
      </c>
      <c r="B5" s="50" t="n">
        <v>0.67</v>
      </c>
      <c r="C5" s="51">
        <f>$H$2</f>
        <v/>
      </c>
      <c r="D5" s="52">
        <f>B5*(1+C5)</f>
        <v/>
      </c>
      <c r="E5" s="53">
        <f>ROUNDUP(D5/4,0)</f>
        <v/>
      </c>
    </row>
    <row r="6">
      <c r="A6" s="40" t="inlineStr">
        <is>
          <t>ท่อน้ำดี Ø32 มม. (เส้นผ่านศูนย์กลางตามโมเดล)</t>
        </is>
      </c>
      <c r="B6" s="50" t="n">
        <v>35.01</v>
      </c>
      <c r="C6" s="51">
        <f>$H$2</f>
        <v/>
      </c>
      <c r="D6" s="52">
        <f>B6*(1+C6)</f>
        <v/>
      </c>
      <c r="E6" s="53">
        <f>ROUNDUP(D6/4,0)</f>
        <v/>
      </c>
    </row>
    <row r="7">
      <c r="A7" s="40" t="inlineStr">
        <is>
          <t>ท่อน้ำทิ้ง Ø50 มม. (เส้นผ่านศูนย์กลางตามโมเดล)</t>
        </is>
      </c>
      <c r="B7" s="50" t="n">
        <v>7.39</v>
      </c>
      <c r="C7" s="51">
        <f>$H$2</f>
        <v/>
      </c>
      <c r="D7" s="52">
        <f>B7*(1+C7)</f>
        <v/>
      </c>
      <c r="E7" s="53">
        <f>ROUNDUP(D7/4,0)</f>
        <v/>
      </c>
    </row>
    <row r="8">
      <c r="A8" s="40" t="inlineStr">
        <is>
          <t>ท่อน้ำทิ้ง Ø75 มม. (เส้นผ่านศูนย์กลางตามโมเดล)</t>
        </is>
      </c>
      <c r="B8" s="50" t="n">
        <v>15.14</v>
      </c>
      <c r="C8" s="51">
        <f>$H$2</f>
        <v/>
      </c>
      <c r="D8" s="52">
        <f>B8*(1+C8)</f>
        <v/>
      </c>
      <c r="E8" s="53">
        <f>ROUNDUP(D8/4,0)</f>
        <v/>
      </c>
    </row>
    <row r="9">
      <c r="A9" s="40" t="inlineStr">
        <is>
          <t>ท่อโสโครก/อากาศ Ø50 มม. (เส้นผ่านศูนย์กลางตามโมเดล)</t>
        </is>
      </c>
      <c r="B9" s="50" t="n">
        <v>21.59</v>
      </c>
      <c r="C9" s="51">
        <f>$H$2</f>
        <v/>
      </c>
      <c r="D9" s="52">
        <f>B9*(1+C9)</f>
        <v/>
      </c>
      <c r="E9" s="53">
        <f>ROUNDUP(D9/4,0)</f>
        <v/>
      </c>
    </row>
    <row r="10">
      <c r="A10" s="40" t="inlineStr">
        <is>
          <t>ท่อโสโครก/อากาศ Ø110 มม. (เส้นผ่านศูนย์กลางตามโมเดล)</t>
        </is>
      </c>
      <c r="B10" s="50" t="n">
        <v>8.029999999999999</v>
      </c>
      <c r="C10" s="51">
        <f>$H$2</f>
        <v/>
      </c>
      <c r="D10" s="52">
        <f>B10*(1+C10)</f>
        <v/>
      </c>
      <c r="E10" s="53">
        <f>ROUNDUP(D10/4,0)</f>
        <v/>
      </c>
    </row>
    <row r="12">
      <c r="A12" s="54" t="inlineStr">
        <is>
          <t>อุปกรณ์</t>
        </is>
      </c>
    </row>
    <row r="13">
      <c r="A13" s="40" t="inlineStr">
        <is>
          <t>ถังน้ำดี 1000 ลิตร พร้อมฐานคอนกรีต</t>
        </is>
      </c>
      <c r="B13" s="44" t="n">
        <v>1</v>
      </c>
      <c r="C13" s="40" t="n"/>
      <c r="D13" s="40" t="inlineStr">
        <is>
          <t>ชุด</t>
        </is>
      </c>
      <c r="E13" s="40" t="n"/>
    </row>
    <row r="14">
      <c r="A14" s="40" t="inlineStr">
        <is>
          <t>เครื่องกรองน้ำ (ถัง)</t>
        </is>
      </c>
      <c r="B14" s="44" t="n">
        <v>2</v>
      </c>
      <c r="C14" s="40" t="n"/>
      <c r="D14" s="40" t="inlineStr">
        <is>
          <t>ชุด</t>
        </is>
      </c>
      <c r="E14" s="40" t="n"/>
    </row>
    <row r="15">
      <c r="A15" s="40" t="inlineStr">
        <is>
          <t>ปั๊มน้ำ + ถังแรงดัน</t>
        </is>
      </c>
      <c r="B15" s="44" t="n">
        <v>1</v>
      </c>
      <c r="C15" s="40" t="n"/>
      <c r="D15" s="40" t="inlineStr">
        <is>
          <t>ชุด</t>
        </is>
      </c>
      <c r="E15" s="40" t="n"/>
    </row>
    <row r="16">
      <c r="A16" s="40" t="inlineStr">
        <is>
          <t>ถังแซท (บำบัดฝังดิน)</t>
        </is>
      </c>
      <c r="B16" s="44" t="n">
        <v>1</v>
      </c>
      <c r="C16" s="40" t="n"/>
      <c r="D16" s="40" t="inlineStr">
        <is>
          <t>ถัง</t>
        </is>
      </c>
      <c r="E16" s="40" t="n"/>
    </row>
    <row r="17">
      <c r="A17" s="40" t="inlineStr">
        <is>
          <t>บ่อซึม วงคอนกรีต Ø1.0 สูง 0.5 ม. + ฝา</t>
        </is>
      </c>
      <c r="B17" s="44" t="n">
        <v>3</v>
      </c>
      <c r="C17" s="40" t="n"/>
      <c r="D17" s="40" t="inlineStr">
        <is>
          <t>วง</t>
        </is>
      </c>
      <c r="E17" s="40" t="n"/>
    </row>
    <row r="18">
      <c r="A18" s="40" t="inlineStr">
        <is>
          <t>ก๊อกน้ำภายนอก (เครื่องซักผ้า P2 C3 C14)</t>
        </is>
      </c>
      <c r="B18" s="44" t="n">
        <v>4</v>
      </c>
      <c r="C18" s="40" t="n"/>
      <c r="D18" s="40" t="inlineStr">
        <is>
          <t>จุด</t>
        </is>
      </c>
      <c r="E18" s="40" t="n"/>
    </row>
    <row r="19">
      <c r="A19" s="40" t="inlineStr">
        <is>
          <t>ตะแกรงน้ำทิ้งพื้นห้องน้ำ</t>
        </is>
      </c>
      <c r="B19" s="44" t="n">
        <v>4</v>
      </c>
      <c r="C19" s="40" t="n"/>
      <c r="D19" s="40" t="inlineStr">
        <is>
          <t>ชุด</t>
        </is>
      </c>
      <c r="E19" s="40" t="n"/>
    </row>
    <row r="20">
      <c r="A20" s="40" t="inlineStr">
        <is>
          <t>ฝาจุดเปิดล้างก่อนถังแซท</t>
        </is>
      </c>
      <c r="B20" s="44" t="n">
        <v>1</v>
      </c>
      <c r="C20" s="40" t="n"/>
      <c r="D20" s="40" t="inlineStr">
        <is>
          <t>ชุด</t>
        </is>
      </c>
      <c r="E20" s="40" t="n"/>
    </row>
    <row r="21">
      <c r="A21" s="40" t="inlineStr">
        <is>
          <t>วาล์วน้ำ (ห้องน้ำ 8 ซิงค์ครัว 1 แยก C2 1)</t>
        </is>
      </c>
      <c r="B21" s="44" t="n">
        <v>10</v>
      </c>
      <c r="C21" s="40" t="n"/>
      <c r="D21" s="40" t="inlineStr">
        <is>
          <t>ตัว</t>
        </is>
      </c>
      <c r="E21" s="40" t="n"/>
    </row>
    <row r="23">
      <c r="A23" s="48" t="inlineStr">
        <is>
          <t>ความยาวเป็นแนวกลางเส้นท่อในโมเดลเบื้องต้น ขนาดท่อ ความลาด ข้อต่อ และชั้นคุณภาพต้องตรวจสอบก่อนจัดซื้อ ไม่รวมข้อต่อ วาล์ว และงานขุด</t>
        </is>
      </c>
    </row>
    <row r="26" ht="16" customHeight="1">
      <c r="A26" s="90" t="inlineStr">
        <is>
          <t>สิ่งที่ต้องซื้อ (จากชีตนี้)</t>
        </is>
      </c>
    </row>
    <row r="27">
      <c r="A27" s="85" t="inlineStr">
        <is>
          <t>รายการที่ต้องซื้อ</t>
        </is>
      </c>
      <c r="B27" s="85" t="inlineStr">
        <is>
          <t>จำนวน</t>
        </is>
      </c>
      <c r="C27" s="85" t="inlineStr">
        <is>
          <t>หน่วย</t>
        </is>
      </c>
      <c r="D27" s="85" t="inlineStr">
        <is>
          <t>หมายเหตุ</t>
        </is>
      </c>
    </row>
    <row r="28">
      <c r="A28" s="86">
        <f>A4</f>
        <v/>
      </c>
      <c r="B28" s="93">
        <f>E4</f>
        <v/>
      </c>
      <c r="C28" s="86" t="inlineStr">
        <is>
          <t>ท่อน (4 ม.)</t>
        </is>
      </c>
      <c r="D28" s="89" t="n"/>
    </row>
    <row r="29">
      <c r="A29" s="86">
        <f>A5</f>
        <v/>
      </c>
      <c r="B29" s="93">
        <f>E5</f>
        <v/>
      </c>
      <c r="C29" s="86" t="inlineStr">
        <is>
          <t>ท่อน (4 ม.)</t>
        </is>
      </c>
      <c r="D29" s="89" t="n"/>
    </row>
    <row r="30">
      <c r="A30" s="86">
        <f>A6</f>
        <v/>
      </c>
      <c r="B30" s="93">
        <f>E6</f>
        <v/>
      </c>
      <c r="C30" s="86" t="inlineStr">
        <is>
          <t>ท่อน (4 ม.)</t>
        </is>
      </c>
      <c r="D30" s="89" t="n"/>
    </row>
    <row r="31">
      <c r="A31" s="86">
        <f>A7</f>
        <v/>
      </c>
      <c r="B31" s="93">
        <f>E7</f>
        <v/>
      </c>
      <c r="C31" s="86" t="inlineStr">
        <is>
          <t>ท่อน (4 ม.)</t>
        </is>
      </c>
      <c r="D31" s="89" t="n"/>
    </row>
    <row r="32">
      <c r="A32" s="86">
        <f>A8</f>
        <v/>
      </c>
      <c r="B32" s="93">
        <f>E8</f>
        <v/>
      </c>
      <c r="C32" s="86" t="inlineStr">
        <is>
          <t>ท่อน (4 ม.)</t>
        </is>
      </c>
      <c r="D32" s="89" t="n"/>
    </row>
    <row r="33">
      <c r="A33" s="86">
        <f>A9</f>
        <v/>
      </c>
      <c r="B33" s="93">
        <f>E9</f>
        <v/>
      </c>
      <c r="C33" s="86" t="inlineStr">
        <is>
          <t>ท่อน (4 ม.)</t>
        </is>
      </c>
      <c r="D33" s="89" t="n"/>
    </row>
    <row r="34">
      <c r="A34" s="86">
        <f>A10</f>
        <v/>
      </c>
      <c r="B34" s="93">
        <f>E10</f>
        <v/>
      </c>
      <c r="C34" s="86" t="inlineStr">
        <is>
          <t>ท่อน (4 ม.)</t>
        </is>
      </c>
      <c r="D34" s="89" t="n"/>
    </row>
    <row r="35">
      <c r="A35" s="86">
        <f>A13</f>
        <v/>
      </c>
      <c r="B35" s="96">
        <f>B13</f>
        <v/>
      </c>
      <c r="C35" s="86">
        <f>D13</f>
        <v/>
      </c>
      <c r="D35" s="89" t="n"/>
    </row>
    <row r="36">
      <c r="A36" s="86">
        <f>A14</f>
        <v/>
      </c>
      <c r="B36" s="96">
        <f>B14</f>
        <v/>
      </c>
      <c r="C36" s="86">
        <f>D14</f>
        <v/>
      </c>
      <c r="D36" s="89" t="n"/>
    </row>
    <row r="37">
      <c r="A37" s="86">
        <f>A15</f>
        <v/>
      </c>
      <c r="B37" s="96">
        <f>B15</f>
        <v/>
      </c>
      <c r="C37" s="86">
        <f>D15</f>
        <v/>
      </c>
      <c r="D37" s="89" t="n"/>
    </row>
    <row r="38">
      <c r="A38" s="86">
        <f>A16</f>
        <v/>
      </c>
      <c r="B38" s="96">
        <f>B16</f>
        <v/>
      </c>
      <c r="C38" s="86">
        <f>D16</f>
        <v/>
      </c>
      <c r="D38" s="89" t="n"/>
    </row>
    <row r="39">
      <c r="A39" s="86">
        <f>A17</f>
        <v/>
      </c>
      <c r="B39" s="96">
        <f>B17</f>
        <v/>
      </c>
      <c r="C39" s="86">
        <f>D17</f>
        <v/>
      </c>
      <c r="D39" s="89" t="n"/>
    </row>
    <row r="40">
      <c r="A40" s="86">
        <f>A18</f>
        <v/>
      </c>
      <c r="B40" s="96">
        <f>B18</f>
        <v/>
      </c>
      <c r="C40" s="86">
        <f>D18</f>
        <v/>
      </c>
      <c r="D40" s="89" t="n"/>
    </row>
    <row r="41">
      <c r="A41" s="86">
        <f>A19</f>
        <v/>
      </c>
      <c r="B41" s="96">
        <f>B19</f>
        <v/>
      </c>
      <c r="C41" s="86">
        <f>D19</f>
        <v/>
      </c>
      <c r="D41" s="89" t="n"/>
    </row>
    <row r="42">
      <c r="A42" s="86">
        <f>A20</f>
        <v/>
      </c>
      <c r="B42" s="96">
        <f>B20</f>
        <v/>
      </c>
      <c r="C42" s="86">
        <f>D20</f>
        <v/>
      </c>
      <c r="D42" s="89" t="n"/>
    </row>
    <row r="43">
      <c r="A43" s="86">
        <f>A21</f>
        <v/>
      </c>
      <c r="B43" s="96">
        <f>B21</f>
        <v/>
      </c>
      <c r="C43" s="86">
        <f>D21</f>
        <v/>
      </c>
      <c r="D43" s="89" t="n"/>
    </row>
    <row r="44">
      <c r="A44" s="86" t="inlineStr">
        <is>
          <t>ข้อต่อ วาล์ว กาวท่อ ข้อต่อเกลียว (ยังไม่รวมในปริมาณ)</t>
        </is>
      </c>
      <c r="B44" s="145" t="n"/>
      <c r="C44" s="86" t="inlineStr">
        <is>
          <t>เหมา</t>
        </is>
      </c>
      <c r="D44" s="89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10" defaultColWidth="8.83203125" defaultRowHeight="15"/>
  <cols>
    <col width="62" customWidth="1" min="1" max="1"/>
    <col width="14" customWidth="1" min="2" max="4"/>
    <col width="60" customWidth="1" min="5" max="5"/>
  </cols>
  <sheetData>
    <row r="1" ht="18" customHeight="1">
      <c r="A1" s="103" t="inlineStr">
        <is>
          <t>สุขภัณฑ์ห้องน้ำและงานครัว (ซิงค์แบบก่อ)</t>
        </is>
      </c>
    </row>
    <row r="2">
      <c r="A2" s="104" t="inlineStr">
        <is>
          <t>จำนวนนับจากโมเดล v413 (ช่องสีน้ำเงิน) รายการที่ไม่มีในโมเดลเป็นค่าสมมติ ยี่ห้อ/รุ่น/สีและขนาดจริงต้องเลือกก่อนสั่งซื้อ</t>
        </is>
      </c>
    </row>
    <row r="4">
      <c r="A4" s="120" t="inlineStr">
        <is>
          <t>สุขภัณฑ์ห้องน้ำ</t>
        </is>
      </c>
      <c r="B4" s="120" t="inlineStr">
        <is>
          <t>ห้องน้ำ 1</t>
        </is>
      </c>
      <c r="C4" s="120" t="inlineStr">
        <is>
          <t>ห้องน้ำ 2</t>
        </is>
      </c>
      <c r="D4" s="120" t="inlineStr">
        <is>
          <t>รวม</t>
        </is>
      </c>
      <c r="E4" s="120" t="inlineStr">
        <is>
          <t>ขนาดในโมเดล / หมายเหตุ</t>
        </is>
      </c>
    </row>
    <row r="5">
      <c r="A5" s="106" t="inlineStr">
        <is>
          <t>โถสุขภัณฑ์ (ชักโครก) ชนิดวางพื้น พร้อมถังพักน้ำและฝารองนั่ง</t>
        </is>
      </c>
      <c r="B5" s="121" t="n">
        <v>1</v>
      </c>
      <c r="C5" s="121" t="n">
        <v>1</v>
      </c>
      <c r="D5" s="122">
        <f>B5+C5</f>
        <v/>
      </c>
      <c r="E5" s="118" t="inlineStr">
        <is>
          <t>0.75x0.41x0.84 ม. ยังไม่ระบุรุ่น</t>
        </is>
      </c>
    </row>
    <row r="6">
      <c r="A6" s="106" t="inlineStr">
        <is>
          <t>อ่างล้างหน้าแบบวางบนเคาน์เตอร์ปูน</t>
        </is>
      </c>
      <c r="B6" s="121" t="n">
        <v>1</v>
      </c>
      <c r="C6" s="121" t="n">
        <v>1</v>
      </c>
      <c r="D6" s="122">
        <f>B6+C6</f>
        <v/>
      </c>
      <c r="E6" s="118" t="inlineStr">
        <is>
          <t>0.40x0.40 ม. (เคาน์เตอร์ปูนอยู่ในงานก่อ)</t>
        </is>
      </c>
    </row>
    <row r="7">
      <c r="A7" s="106" t="inlineStr">
        <is>
          <t>ก๊อกอ่างล้างหน้า (ก๊อกคอสูง)</t>
        </is>
      </c>
      <c r="B7" s="121" t="n">
        <v>1</v>
      </c>
      <c r="C7" s="121" t="n">
        <v>1</v>
      </c>
      <c r="D7" s="122">
        <f>B7+C7</f>
        <v/>
      </c>
      <c r="E7" s="118" t="inlineStr">
        <is>
          <t>สูง 0.31 ม.</t>
        </is>
      </c>
    </row>
    <row r="8">
      <c r="A8" s="106" t="inlineStr">
        <is>
          <t>สะดือและท่อน้ำทิ้งอ่าง พร้อมท่อดักกลิ่น (P-trap)</t>
        </is>
      </c>
      <c r="B8" s="121" t="n">
        <v>1</v>
      </c>
      <c r="C8" s="121" t="n">
        <v>1</v>
      </c>
      <c r="D8" s="122">
        <f>B8+C8</f>
        <v/>
      </c>
      <c r="E8" s="118" t="inlineStr">
        <is>
          <t>ค่าสมมติ 1 ชุดต่ออ่าง</t>
        </is>
      </c>
    </row>
    <row r="9">
      <c r="A9" s="106" t="inlineStr">
        <is>
          <t>สายน้ำดีอ่อน (สายถัก) สำหรับอ่างและโถ</t>
        </is>
      </c>
      <c r="B9" s="121" t="n">
        <v>2</v>
      </c>
      <c r="C9" s="121" t="n">
        <v>2</v>
      </c>
      <c r="D9" s="122">
        <f>B9+C9</f>
        <v/>
      </c>
      <c r="E9" s="118" t="inlineStr">
        <is>
          <t>ค่าสมมติ 2 เส้นต่อห้อง (อ่าง 1 โถ 1)</t>
        </is>
      </c>
    </row>
    <row r="10">
      <c r="A10" s="106" t="inlineStr">
        <is>
          <t>ชุดสายฉีดชำระ พร้อมหัว สายและขอแขวน</t>
        </is>
      </c>
      <c r="B10" s="121" t="n">
        <v>1</v>
      </c>
      <c r="C10" s="121" t="n">
        <v>1</v>
      </c>
      <c r="D10" s="122">
        <f>B10+C10</f>
        <v/>
      </c>
      <c r="E10" s="118" t="inlineStr">
        <is>
          <t>ท่อน้ำดีและวาล์วฉีดชำระอยู่ในชีตประปาแล้ว</t>
        </is>
      </c>
    </row>
    <row r="11">
      <c r="A11" s="106" t="inlineStr">
        <is>
          <t>เครื่องฝักบัว/ชุดฝักบัวอาบน้ำ (ก้าน หัวฝักบัว และวาล์วผสมหรือก๊อกเปิด-ปิด)</t>
        </is>
      </c>
      <c r="B11" s="121" t="n">
        <v>1</v>
      </c>
      <c r="C11" s="121" t="n">
        <v>1</v>
      </c>
      <c r="D11" s="122">
        <f>B11+C11</f>
        <v/>
      </c>
      <c r="E11" s="118" t="inlineStr">
        <is>
          <t>0.42x0.20x0.92 ม. ในโมเดล</t>
        </is>
      </c>
    </row>
    <row r="12">
      <c r="A12" s="106" t="inlineStr">
        <is>
          <t>ฉากกั้นอาบน้ำกระจกเทมเปอร์ใส พร้อมอุปกรณ์ยึด</t>
        </is>
      </c>
      <c r="B12" s="121" t="n">
        <v>1</v>
      </c>
      <c r="C12" s="121" t="n">
        <v>1</v>
      </c>
      <c r="D12" s="122">
        <f>B12+C12</f>
        <v/>
      </c>
      <c r="E12" s="118" t="inlineStr">
        <is>
          <t>0.90x1.89 ม. แผ่นเดียวติดตาย</t>
        </is>
      </c>
    </row>
    <row r="13">
      <c r="A13" s="106" t="inlineStr">
        <is>
          <t>กระจกเงาห้องน้ำ</t>
        </is>
      </c>
      <c r="B13" s="121" t="n">
        <v>1</v>
      </c>
      <c r="C13" s="121" t="n">
        <v>1</v>
      </c>
      <c r="D13" s="122">
        <f>B13+C13</f>
        <v/>
      </c>
      <c r="E13" s="118" t="inlineStr">
        <is>
          <t>0.38x0.75 ม.</t>
        </is>
      </c>
    </row>
    <row r="14">
      <c r="A14" s="106" t="inlineStr">
        <is>
          <t>อุปกรณ์ห้องน้ำ: ที่ใส่กระดาษชำระ ที่แขวนผ้า ขอแขวน (ไม่มีในโมเดล)</t>
        </is>
      </c>
      <c r="B14" s="121" t="n">
        <v>1</v>
      </c>
      <c r="C14" s="121" t="n">
        <v>1</v>
      </c>
      <c r="D14" s="122">
        <f>B14+C14</f>
        <v/>
      </c>
      <c r="E14" s="118" t="inlineStr">
        <is>
          <t>ค่าสมมติ 1 ชุดต่อห้อง</t>
        </is>
      </c>
    </row>
    <row r="16">
      <c r="A16" s="120" t="inlineStr">
        <is>
          <t>ครัว (ซิงค์แบบก่อ ติดผนังตะวันออก)</t>
        </is>
      </c>
      <c r="B16" s="120" t="inlineStr">
        <is>
          <t>จำนวน</t>
        </is>
      </c>
      <c r="C16" s="120" t="inlineStr">
        <is>
          <t>หน่วย</t>
        </is>
      </c>
      <c r="D16" s="120" t="n"/>
      <c r="E16" s="120" t="inlineStr">
        <is>
          <t>ขนาดในโมเดล / หมายเหตุ</t>
        </is>
      </c>
    </row>
    <row r="17">
      <c r="A17" s="106" t="inlineStr">
        <is>
          <t>ซิงค์สแตนเลส 2 หลุม มีที่พักจาน</t>
        </is>
      </c>
      <c r="B17" s="121" t="n">
        <v>1</v>
      </c>
      <c r="C17" s="106" t="inlineStr">
        <is>
          <t>ชุด</t>
        </is>
      </c>
      <c r="D17" s="106" t="n"/>
      <c r="E17" s="118" t="inlineStr">
        <is>
          <t>1.20x0.50 ม. (ฝังท็อปกระเบื้อง ต้องเจาะช่องตามแบบซิงค์)</t>
        </is>
      </c>
    </row>
    <row r="18">
      <c r="A18" s="106" t="inlineStr">
        <is>
          <t>ก๊อกซิงค์ครัว (คอสูง)</t>
        </is>
      </c>
      <c r="B18" s="121" t="n">
        <v>1</v>
      </c>
      <c r="C18" s="106" t="inlineStr">
        <is>
          <t>ชุด</t>
        </is>
      </c>
      <c r="D18" s="106" t="n"/>
      <c r="E18" s="118" t="n"/>
    </row>
    <row r="19">
      <c r="A19" s="106" t="inlineStr">
        <is>
          <t>สะดือซิงค์และท่อน้ำทิ้ง พร้อมท่อดักกลิ่น (P-trap)</t>
        </is>
      </c>
      <c r="B19" s="121" t="n">
        <v>1</v>
      </c>
      <c r="C19" s="106" t="inlineStr">
        <is>
          <t>ชุด</t>
        </is>
      </c>
      <c r="D19" s="106" t="n"/>
      <c r="E19" s="118" t="inlineStr">
        <is>
          <t>ท่อน้ำทิ้งซิงค์อยู่ในชีตประปาแล้ว</t>
        </is>
      </c>
    </row>
    <row r="20">
      <c r="A20" s="106" t="inlineStr">
        <is>
          <t>สายน้ำดีอ่อน (สายถัก) ใต้ซิงค์</t>
        </is>
      </c>
      <c r="B20" s="121" t="n">
        <v>2</v>
      </c>
      <c r="C20" s="106" t="inlineStr">
        <is>
          <t>เส้น</t>
        </is>
      </c>
      <c r="D20" s="106" t="n"/>
      <c r="E20" s="118" t="inlineStr">
        <is>
          <t>ค่าสมมติ น้ำร้อน-น้ำเย็นหรือเย็นอย่างเดียว</t>
        </is>
      </c>
    </row>
    <row r="21">
      <c r="A21" s="106" t="inlineStr">
        <is>
          <t>บานตู้ใต้ซิงค์ บานเปิด 0.50x0.64 ม. สีดำ</t>
        </is>
      </c>
      <c r="B21" s="121" t="n">
        <v>4</v>
      </c>
      <c r="C21" s="106" t="inlineStr">
        <is>
          <t>บาน</t>
        </is>
      </c>
      <c r="D21" s="106" t="n"/>
      <c r="E21" s="118" t="inlineStr">
        <is>
          <t>ตามโมเดล 4 บาน วัสดุบานยังไม่ระบุ (ไม้/อลูมิเนียม/เมลามีน)</t>
        </is>
      </c>
    </row>
    <row r="22">
      <c r="A22" s="106" t="inlineStr">
        <is>
          <t>บานพับถ้วย/บานพับบานตู้</t>
        </is>
      </c>
      <c r="B22" s="121" t="n">
        <v>8</v>
      </c>
      <c r="C22" s="106" t="inlineStr">
        <is>
          <t>ตัว</t>
        </is>
      </c>
      <c r="D22" s="106" t="n"/>
      <c r="E22" s="118" t="inlineStr">
        <is>
          <t>ค่าสมมติ 2 ตัวต่อบาน</t>
        </is>
      </c>
    </row>
    <row r="23">
      <c r="A23" s="106" t="inlineStr">
        <is>
          <t>มือจับบานตู้ใต้ซิงค์ (แท่งยาว 0.13 ม. ในโมเดล)</t>
        </is>
      </c>
      <c r="B23" s="121" t="n">
        <v>4</v>
      </c>
      <c r="C23" s="106" t="inlineStr">
        <is>
          <t>ชุด</t>
        </is>
      </c>
      <c r="D23" s="106" t="n"/>
      <c r="E23" s="118" t="inlineStr">
        <is>
          <t>ค่าสมมติ 1 ต่อบาน</t>
        </is>
      </c>
    </row>
    <row r="25">
      <c r="A25" s="120" t="inlineStr">
        <is>
          <t>เคาน์เตอร์ครัว (ก่อปูน ปูกระเบื้อง)</t>
        </is>
      </c>
      <c r="B25" s="120" t="inlineStr">
        <is>
          <t>กว้าง/สูง (ม.)</t>
        </is>
      </c>
      <c r="C25" s="120" t="inlineStr">
        <is>
          <t>ยาว (ม.)</t>
        </is>
      </c>
      <c r="D25" s="120" t="inlineStr">
        <is>
          <t>พื้นที่ (ตร.ม.)</t>
        </is>
      </c>
      <c r="E25" s="120" t="inlineStr">
        <is>
          <t>หมายเหตุ</t>
        </is>
      </c>
    </row>
    <row r="26">
      <c r="A26" s="106" t="inlineStr">
        <is>
          <t>ท็อปเคาน์เตอร์ปูกระเบื้องสีดำ</t>
        </is>
      </c>
      <c r="B26" s="123" t="n">
        <v>0.72</v>
      </c>
      <c r="C26" s="123" t="n">
        <v>2.32</v>
      </c>
      <c r="D26" s="124">
        <f>B26*C26</f>
        <v/>
      </c>
      <c r="E26" s="118" t="inlineStr">
        <is>
          <t>0.72x2.32 ม. (โครงเคาน์เตอร์ปูนอยู่ในงานก่อ)</t>
        </is>
      </c>
    </row>
    <row r="27">
      <c r="A27" s="106" t="inlineStr">
        <is>
          <t>หน้าเคาน์เตอร์ปูกระเบื้องสีขาว</t>
        </is>
      </c>
      <c r="B27" s="123" t="n">
        <v>0.75</v>
      </c>
      <c r="C27" s="123" t="n">
        <v>2.32</v>
      </c>
      <c r="D27" s="124">
        <f>B27*C27</f>
        <v/>
      </c>
      <c r="E27" s="118" t="inlineStr">
        <is>
          <t>หน้าสูง 0.75 ม. ยาว 2.32 ม.</t>
        </is>
      </c>
    </row>
    <row r="28">
      <c r="A28" s="106" t="inlineStr">
        <is>
          <t>รวมพื้นที่กระเบื้องเคาน์เตอร์</t>
        </is>
      </c>
      <c r="B28" s="106" t="n"/>
      <c r="C28" s="106" t="n"/>
      <c r="D28" s="125">
        <f>D26+D27</f>
        <v/>
      </c>
      <c r="E28" s="118" t="inlineStr">
        <is>
          <t>ยังไม่หักช่องซิงค์ และไม่ระบุขนาดกระเบื้องจริง</t>
        </is>
      </c>
    </row>
    <row r="30">
      <c r="A30" s="120" t="inlineStr">
        <is>
          <t>ข้อสมมติ (กระเบื้องเคาน์เตอร์)</t>
        </is>
      </c>
      <c r="B30" s="120" t="inlineStr">
        <is>
          <t>ค่า</t>
        </is>
      </c>
      <c r="C30" s="120" t="n"/>
      <c r="D30" s="120" t="n"/>
      <c r="E30" s="120" t="inlineStr">
        <is>
          <t>หมายเหตุ</t>
        </is>
      </c>
    </row>
    <row r="31">
      <c r="A31" s="106" t="inlineStr">
        <is>
          <t>เผื่อเสียกระเบื้องเคาน์เตอร์ (เศษตัด)</t>
        </is>
      </c>
      <c r="B31" s="111" t="n">
        <v>0.15</v>
      </c>
      <c r="C31" s="106" t="n"/>
      <c r="D31" s="106" t="n"/>
      <c r="E31" s="118" t="inlineStr">
        <is>
          <t>พื้นที่เล็ก เผื่อสูงกว่า</t>
        </is>
      </c>
    </row>
    <row r="32">
      <c r="A32" s="106" t="inlineStr">
        <is>
          <t>ปูนกาว (กก./ตร.ม.)</t>
        </is>
      </c>
      <c r="B32" s="126" t="n">
        <v>5</v>
      </c>
      <c r="C32" s="106" t="n"/>
      <c r="D32" s="106" t="n"/>
      <c r="E32" s="118" t="n"/>
    </row>
    <row r="33">
      <c r="A33" s="106" t="inlineStr">
        <is>
          <t>ขนาดถุงปูนกาว (กก.)</t>
        </is>
      </c>
      <c r="B33" s="121" t="n">
        <v>20</v>
      </c>
      <c r="C33" s="106" t="n"/>
      <c r="D33" s="106" t="n"/>
      <c r="E33" s="118" t="n"/>
    </row>
    <row r="34">
      <c r="A34" s="106" t="inlineStr">
        <is>
          <t>ยาแนว (กก./ตร.ม.)</t>
        </is>
      </c>
      <c r="B34" s="123" t="n">
        <v>0.4</v>
      </c>
      <c r="C34" s="106" t="n"/>
      <c r="D34" s="106" t="n"/>
      <c r="E34" s="118" t="n"/>
    </row>
    <row r="35">
      <c r="A35" s="106" t="inlineStr">
        <is>
          <t>ขนาดถุงยาแนว (กก.)</t>
        </is>
      </c>
      <c r="B35" s="121" t="n">
        <v>1</v>
      </c>
      <c r="C35" s="106" t="n"/>
      <c r="D35" s="106" t="n"/>
      <c r="E35" s="118" t="n"/>
    </row>
    <row r="38" ht="16" customHeight="1">
      <c r="A38" s="127" t="inlineStr">
        <is>
          <t>สิ่งที่ต้องซื้อ (จากชีตนี้)</t>
        </is>
      </c>
    </row>
    <row r="39">
      <c r="A39" s="120" t="inlineStr">
        <is>
          <t>รายการที่ต้องซื้อ</t>
        </is>
      </c>
      <c r="B39" s="120" t="inlineStr">
        <is>
          <t>จำนวน</t>
        </is>
      </c>
      <c r="C39" s="120" t="inlineStr">
        <is>
          <t>หน่วย</t>
        </is>
      </c>
      <c r="D39" s="120" t="inlineStr">
        <is>
          <t>หมายเหตุ</t>
        </is>
      </c>
      <c r="E39" s="120" t="n"/>
    </row>
    <row r="40">
      <c r="A40" s="106">
        <f>A5</f>
        <v/>
      </c>
      <c r="B40" s="154">
        <f>D5</f>
        <v/>
      </c>
      <c r="C40" s="106" t="inlineStr">
        <is>
          <t>ชุด</t>
        </is>
      </c>
      <c r="D40" s="118" t="inlineStr">
        <is>
          <t>0.75x0.41x0.84 ม. ยังไม่ระบุรุ่น</t>
        </is>
      </c>
    </row>
    <row r="41">
      <c r="A41" s="106">
        <f>A6</f>
        <v/>
      </c>
      <c r="B41" s="154">
        <f>D6</f>
        <v/>
      </c>
      <c r="C41" s="106" t="inlineStr">
        <is>
          <t>ชุด</t>
        </is>
      </c>
      <c r="D41" s="118" t="inlineStr">
        <is>
          <t>0.40x0.40 ม. (เคาน์เตอร์ปูนอยู่ในงานก่อ)</t>
        </is>
      </c>
    </row>
    <row r="42">
      <c r="A42" s="106">
        <f>A7</f>
        <v/>
      </c>
      <c r="B42" s="154">
        <f>D7</f>
        <v/>
      </c>
      <c r="C42" s="106" t="inlineStr">
        <is>
          <t>ชุด</t>
        </is>
      </c>
      <c r="D42" s="118" t="inlineStr">
        <is>
          <t>สูง 0.31 ม.</t>
        </is>
      </c>
    </row>
    <row r="43">
      <c r="A43" s="106">
        <f>A8</f>
        <v/>
      </c>
      <c r="B43" s="154">
        <f>D8</f>
        <v/>
      </c>
      <c r="C43" s="106" t="inlineStr">
        <is>
          <t>ชุด</t>
        </is>
      </c>
      <c r="D43" s="118" t="inlineStr">
        <is>
          <t>ค่าสมมติ 1 ชุดต่ออ่าง</t>
        </is>
      </c>
    </row>
    <row r="44">
      <c r="A44" s="106">
        <f>A9</f>
        <v/>
      </c>
      <c r="B44" s="154">
        <f>D9</f>
        <v/>
      </c>
      <c r="C44" s="106" t="inlineStr">
        <is>
          <t>ชุด</t>
        </is>
      </c>
      <c r="D44" s="118" t="inlineStr">
        <is>
          <t>ค่าสมมติ 2 เส้นต่อห้อง (อ่าง 1 โถ 1)</t>
        </is>
      </c>
    </row>
    <row r="45">
      <c r="A45" s="106">
        <f>A10</f>
        <v/>
      </c>
      <c r="B45" s="154">
        <f>D10</f>
        <v/>
      </c>
      <c r="C45" s="106" t="inlineStr">
        <is>
          <t>ชุด</t>
        </is>
      </c>
      <c r="D45" s="118" t="inlineStr">
        <is>
          <t>ท่อน้ำดีและวาล์วฉีดชำระอยู่ในชีตประปาแล้ว</t>
        </is>
      </c>
    </row>
    <row r="46">
      <c r="A46" s="106">
        <f>A11</f>
        <v/>
      </c>
      <c r="B46" s="154">
        <f>D11</f>
        <v/>
      </c>
      <c r="C46" s="106" t="inlineStr">
        <is>
          <t>ชุด</t>
        </is>
      </c>
      <c r="D46" s="118" t="inlineStr">
        <is>
          <t>0.42x0.20x0.92 ม. ในโมเดล</t>
        </is>
      </c>
    </row>
    <row r="47">
      <c r="A47" s="106">
        <f>A12</f>
        <v/>
      </c>
      <c r="B47" s="154">
        <f>D12</f>
        <v/>
      </c>
      <c r="C47" s="106" t="inlineStr">
        <is>
          <t>ชุด</t>
        </is>
      </c>
      <c r="D47" s="118" t="inlineStr">
        <is>
          <t>0.90x1.89 ม. แผ่นเดียวติดตาย</t>
        </is>
      </c>
    </row>
    <row r="48">
      <c r="A48" s="106">
        <f>A13</f>
        <v/>
      </c>
      <c r="B48" s="154">
        <f>D13</f>
        <v/>
      </c>
      <c r="C48" s="106" t="inlineStr">
        <is>
          <t>ชุด</t>
        </is>
      </c>
      <c r="D48" s="118" t="inlineStr">
        <is>
          <t>0.38x0.75 ม.</t>
        </is>
      </c>
    </row>
    <row r="49">
      <c r="A49" s="106">
        <f>A14</f>
        <v/>
      </c>
      <c r="B49" s="154">
        <f>D14</f>
        <v/>
      </c>
      <c r="C49" s="106" t="inlineStr">
        <is>
          <t>ชุด</t>
        </is>
      </c>
      <c r="D49" s="118" t="inlineStr">
        <is>
          <t>ค่าสมมติ 1 ชุดต่อห้อง</t>
        </is>
      </c>
    </row>
    <row r="50">
      <c r="A50" s="106">
        <f>A17</f>
        <v/>
      </c>
      <c r="B50" s="154">
        <f>B17</f>
        <v/>
      </c>
      <c r="C50" s="106" t="inlineStr">
        <is>
          <t>ชุด</t>
        </is>
      </c>
      <c r="D50" s="118" t="inlineStr">
        <is>
          <t>1.20x0.50 ม. (ฝังท็อปกระเบื้อง ต้องเจาะช่องตามแบบซิงค์)</t>
        </is>
      </c>
    </row>
    <row r="51">
      <c r="A51" s="106">
        <f>A18</f>
        <v/>
      </c>
      <c r="B51" s="154">
        <f>B18</f>
        <v/>
      </c>
      <c r="C51" s="106" t="inlineStr">
        <is>
          <t>ชุด</t>
        </is>
      </c>
      <c r="D51" s="118" t="n"/>
    </row>
    <row r="52">
      <c r="A52" s="106">
        <f>A19</f>
        <v/>
      </c>
      <c r="B52" s="154">
        <f>B19</f>
        <v/>
      </c>
      <c r="C52" s="106" t="inlineStr">
        <is>
          <t>ชุด</t>
        </is>
      </c>
      <c r="D52" s="118" t="inlineStr">
        <is>
          <t>ท่อน้ำทิ้งซิงค์อยู่ในชีตประปาแล้ว</t>
        </is>
      </c>
    </row>
    <row r="53">
      <c r="A53" s="106">
        <f>A20</f>
        <v/>
      </c>
      <c r="B53" s="154">
        <f>B20</f>
        <v/>
      </c>
      <c r="C53" s="106" t="inlineStr">
        <is>
          <t>เส้น</t>
        </is>
      </c>
      <c r="D53" s="118" t="inlineStr">
        <is>
          <t>ค่าสมมติ น้ำร้อน-น้ำเย็นหรือเย็นอย่างเดียว</t>
        </is>
      </c>
    </row>
    <row r="54">
      <c r="A54" s="106">
        <f>A21</f>
        <v/>
      </c>
      <c r="B54" s="154">
        <f>B21</f>
        <v/>
      </c>
      <c r="C54" s="106" t="inlineStr">
        <is>
          <t>บาน</t>
        </is>
      </c>
      <c r="D54" s="118" t="inlineStr">
        <is>
          <t>ตามโมเดล 4 บาน วัสดุบานยังไม่ระบุ (ไม้/อลูมิเนียม/เมลามีน)</t>
        </is>
      </c>
    </row>
    <row r="55">
      <c r="A55" s="106">
        <f>A22</f>
        <v/>
      </c>
      <c r="B55" s="154">
        <f>B22</f>
        <v/>
      </c>
      <c r="C55" s="106" t="inlineStr">
        <is>
          <t>ตัว</t>
        </is>
      </c>
      <c r="D55" s="118" t="inlineStr">
        <is>
          <t>ค่าสมมติ 2 ตัวต่อบาน</t>
        </is>
      </c>
    </row>
    <row r="56">
      <c r="A56" s="106">
        <f>A23</f>
        <v/>
      </c>
      <c r="B56" s="154">
        <f>B23</f>
        <v/>
      </c>
      <c r="C56" s="106" t="inlineStr">
        <is>
          <t>ชุด</t>
        </is>
      </c>
      <c r="D56" s="118" t="inlineStr">
        <is>
          <t>ค่าสมมติ 1 ต่อบาน</t>
        </is>
      </c>
    </row>
    <row r="57">
      <c r="A57" s="106" t="inlineStr">
        <is>
          <t>กระเบื้องเคาน์เตอร์ครัว (ดำและขาว) รวมเผื่อเสีย</t>
        </is>
      </c>
      <c r="B57" s="154">
        <f>ROUNDUP(D28*(1+$B$31),1)</f>
        <v/>
      </c>
      <c r="C57" s="106" t="inlineStr">
        <is>
          <t>ตร.ม.</t>
        </is>
      </c>
      <c r="D57" s="118" t="inlineStr">
        <is>
          <t>เลือกขนาดกระเบื้องแล้วแปลงเป็นแผ่น</t>
        </is>
      </c>
    </row>
    <row r="58">
      <c r="A58" s="106" t="inlineStr">
        <is>
          <t>ปูนกาวปูกระเบื้องเคาน์เตอร์ (ถุง 20 กก.)</t>
        </is>
      </c>
      <c r="B58" s="154">
        <f>ROUNDUP(D28*$B$32/$B$33,0)</f>
        <v/>
      </c>
      <c r="C58" s="106" t="inlineStr">
        <is>
          <t>ถุง</t>
        </is>
      </c>
      <c r="D58" s="118" t="n"/>
    </row>
    <row r="59">
      <c r="A59" s="106" t="inlineStr">
        <is>
          <t>ยาแนวกระเบื้องเคาน์เตอร์ (ถุง 1 กก.)</t>
        </is>
      </c>
      <c r="B59" s="154">
        <f>ROUNDUP(D28*$B$34/$B$35,0)</f>
        <v/>
      </c>
      <c r="C59" s="106" t="inlineStr">
        <is>
          <t>ถุง</t>
        </is>
      </c>
      <c r="D59" s="118" t="n"/>
    </row>
    <row r="61">
      <c r="A61" s="104" t="inlineStr">
        <is>
          <t>ซิงค์ใช้งานได้ต่อเมื่อเคาน์เตอร์เจาะช่องตามแบบ ท่อน้ำดี/น้ำทิ้ง วาล์วใต้ซิงค์ ดูชีต ประปา-สุขาภิบาล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10" defaultColWidth="8.83203125" defaultRowHeight="15"/>
  <cols>
    <col width="58" customWidth="1" min="1" max="1"/>
    <col width="16" customWidth="1" min="2" max="3"/>
    <col width="50" customWidth="1" min="4" max="4"/>
  </cols>
  <sheetData>
    <row r="1" ht="18" customHeight="1">
      <c r="A1" s="59" t="inlineStr">
        <is>
          <t>ฝ้าเพดาน (พื้นที่ฝ้าจากโมเดล v413)</t>
        </is>
      </c>
    </row>
    <row r="3">
      <c r="A3" s="60" t="inlineStr">
        <is>
          <t>รายการ</t>
        </is>
      </c>
      <c r="B3" s="60" t="inlineStr">
        <is>
          <t>พื้นที่ (ตร.ม.)</t>
        </is>
      </c>
      <c r="C3" s="60" t="inlineStr">
        <is>
          <t>ระดับฝ้า (ม.)</t>
        </is>
      </c>
      <c r="D3" s="60" t="inlineStr">
        <is>
          <t>หมายเหตุ</t>
        </is>
      </c>
    </row>
    <row r="4">
      <c r="A4" s="61" t="inlineStr">
        <is>
          <t>ฝ้าในบ้าน (ห้องนอน ห้องน้ำ นั่งเล่น เก็บของ)</t>
        </is>
      </c>
      <c r="B4" s="62" t="n">
        <v>106.18</v>
      </c>
      <c r="C4" s="61" t="n">
        <v>3.49</v>
      </c>
      <c r="D4" s="61" t="inlineStr">
        <is>
          <t>พื้นที่เรียบแผ่นเดียวตามแนวผนัง (ไม่หักช่องเปิด)</t>
        </is>
      </c>
    </row>
    <row r="5">
      <c r="A5" s="61" t="inlineStr">
        <is>
          <t>ฝ้าลอนลายไม้ (WPC หรือเมทัลชีท) ลานหน้าบ้าน</t>
        </is>
      </c>
      <c r="B5" s="62" t="n">
        <v>36.4</v>
      </c>
      <c r="C5" s="61" t="inlineStr">
        <is>
          <t>3.39</t>
        </is>
      </c>
      <c r="D5" s="61" t="inlineStr">
        <is>
          <t>พื้นที่แนวราบ 4.03×9.04 ม. ยาวถึงผนังห้องนอน 1 ลอนวางขวางแนวตะวันออก-ตะวันตก (ผิวลอนตามโมเดล ≈37.3 ตร.ม.) ไฟหลุม 6 ดวง</t>
        </is>
      </c>
    </row>
    <row r="6">
      <c r="A6" s="61" t="inlineStr">
        <is>
          <t>ฝ้าลานตะวันออกเฉียงเหนือ (C3 P3 C9 C10)</t>
        </is>
      </c>
      <c r="B6" s="62" t="n">
        <v>8.65</v>
      </c>
      <c r="C6" s="61" t="n">
        <v>3.49</v>
      </c>
      <c r="D6" s="61" t="inlineStr">
        <is>
          <t>เพิ่มใหม่ 1.73×5.00 ม. หยุดที่ x = 12.73</t>
        </is>
      </c>
    </row>
    <row r="7">
      <c r="A7" s="61" t="inlineStr">
        <is>
          <t>ฝ้าลานตะวันออกเฉียงใต้ (C11 C12 C14 P4)</t>
        </is>
      </c>
      <c r="B7" s="62" t="n">
        <v>6.05</v>
      </c>
      <c r="C7" s="61" t="n">
        <v>3.49</v>
      </c>
      <c r="D7" s="61" t="inlineStr">
        <is>
          <t>เพิ่มใหม่ 1.73×3.50 ม. หยุดที่ x = 12.73</t>
        </is>
      </c>
    </row>
    <row r="8">
      <c r="A8" s="63" t="inlineStr">
        <is>
          <t>รวม</t>
        </is>
      </c>
      <c r="B8" s="64">
        <f>SUM(B4:B7)</f>
        <v/>
      </c>
      <c r="C8" s="63" t="n"/>
      <c r="D8" s="63" t="n"/>
    </row>
    <row r="10">
      <c r="A10" s="65" t="inlineStr">
        <is>
          <t>ยังไม่ระบุวัสดุฝ้า โครงคร่าว และสี ต้องกำหนดก่อนประเมินราคา ปริมาณนี้ไม่รวมเสา คาน และส่วนเผื่อเสีย</t>
        </is>
      </c>
    </row>
    <row r="13" ht="16" customHeight="1">
      <c r="A13" s="90" t="inlineStr">
        <is>
          <t>สิ่งที่ต้องซื้อ (จากชีตนี้)</t>
        </is>
      </c>
    </row>
    <row r="14">
      <c r="A14" s="86" t="inlineStr">
        <is>
          <t>เผื่อเสียแผ่นฝ้า</t>
        </is>
      </c>
      <c r="B14" s="87" t="n">
        <v>0.1</v>
      </c>
      <c r="C14" s="86" t="n"/>
      <c r="D14" s="89" t="inlineStr">
        <is>
          <t>ค่าสมมติ</t>
        </is>
      </c>
    </row>
    <row r="15">
      <c r="A15" s="85" t="inlineStr">
        <is>
          <t>รายการที่ต้องซื้อ</t>
        </is>
      </c>
      <c r="B15" s="85" t="inlineStr">
        <is>
          <t>จำนวน</t>
        </is>
      </c>
      <c r="C15" s="85" t="inlineStr">
        <is>
          <t>หน่วย</t>
        </is>
      </c>
      <c r="D15" s="85" t="inlineStr">
        <is>
          <t>หมายเหตุ</t>
        </is>
      </c>
    </row>
    <row r="16">
      <c r="A16" s="86" t="inlineStr">
        <is>
          <t>แผ่นฝ้าเพดานเรียบ (วัสดุยังไม่ระบุ) รวมเผื่อเสีย ไม่รวมฝ้าลอนลายไม้ลานหน้าบ้าน</t>
        </is>
      </c>
      <c r="B16" s="94">
        <f>(B8-B5)*(1+$B$14)</f>
        <v/>
      </c>
      <c r="C16" s="86" t="inlineStr">
        <is>
          <t>ตร.ม.</t>
        </is>
      </c>
      <c r="D16" s="155" t="inlineStr">
        <is>
          <t>ฝ้าในบ้าน + ลานตะวันออกเฉียงเหนือ/ใต้ (ไม่รวมแถวฝ้าลอนลายไม้)</t>
        </is>
      </c>
    </row>
    <row r="17">
      <c r="A17" s="86" t="inlineStr">
        <is>
          <t>โครงฝ้าเพดาน (โครงคร่าว) ตามพื้นที่ฝ้า</t>
        </is>
      </c>
      <c r="B17" s="94">
        <f>B8</f>
        <v/>
      </c>
      <c r="C17" s="86" t="inlineStr">
        <is>
          <t>ตร.ม.</t>
        </is>
      </c>
      <c r="D17" s="89" t="inlineStr">
        <is>
          <t>โครงคร่าวตามพื้นที่ฝ้าทั้งหมด (ฝ้าลอนลายไม้อาจต้องใช้โครงเหล็กกล่อง/ระยะคร่าวตามผู้ผลิต)</t>
        </is>
      </c>
    </row>
    <row r="18">
      <c r="A18" s="86" t="inlineStr">
        <is>
          <t>สกรู เทปปิดรอยต่อ เกร็ดฉาบรอยต่อ สีทาฝ้า</t>
        </is>
      </c>
      <c r="B18" s="145" t="n"/>
      <c r="C18" s="86" t="inlineStr">
        <is>
          <t>เหมา</t>
        </is>
      </c>
      <c r="D18" s="89" t="n"/>
    </row>
    <row r="19">
      <c r="A19" s="106" t="inlineStr">
        <is>
          <t>ฝ้าลอนลายไม้ (WPC/เมทัลชีท) ลานหน้าบ้าน รวมเผื่อเสีย</t>
        </is>
      </c>
      <c r="B19" s="156">
        <f>B5*(1+$B$14)</f>
        <v/>
      </c>
      <c r="C19" s="106" t="inlineStr">
        <is>
          <t>ตร.ม.</t>
        </is>
      </c>
      <c r="D19" s="118" t="inlineStr">
        <is>
          <t>เลือกชนิด/ความกว้างลอนก่อนแปลงเป็นแผ่นหรือเมตร ซื้อพร้อมเส้นเฟรม/ปิดขอบตามผู้ผลิต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2026-10-07T19:09:24Z</dcterms:created>
  <dcterms:modified xsi:type="dcterms:W3CDTF">2026-10-15T15:13:51Z</dcterms:modified>
  <cp:lastModifiedBy>DANUPON KAEWMART</cp:lastModifiedBy>
</cp:coreProperties>
</file>