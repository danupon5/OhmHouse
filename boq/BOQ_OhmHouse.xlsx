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b val="1"/>
      <sz val="1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FFE699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1" pivotButton="0" quotePrefix="0" xfId="0"/>
    <xf numFmtId="0" fontId="5" fillId="4" borderId="1" pivotButton="0" quotePrefix="0" xfId="0"/>
    <xf numFmtId="3" fontId="5" fillId="4" borderId="1" pivotButton="0" quotePrefix="0" xfId="0"/>
    <xf numFmtId="0" fontId="6" fillId="5" borderId="1" pivotButton="0" quotePrefix="0" xfId="0"/>
    <xf numFmtId="3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14" customWidth="1" min="4" max="4"/>
    <col width="16" customWidth="1" min="5" max="5"/>
    <col width="14" customWidth="1" min="6" max="6"/>
    <col width="36" customWidth="1" min="7" max="7"/>
  </cols>
  <sheetData>
    <row r="1" ht="28" customHeight="1">
      <c r="A1" s="1" t="inlineStr">
        <is>
          <t>บ้าน OHM SITEBOOK - BOQ (Bill of Quantities)</t>
        </is>
      </c>
    </row>
    <row r="2">
      <c r="A2" s="2" t="inlineStr">
        <is>
          <t>ประมาณการวัสดุ ไม่รวมค่าแรง/ไม้แบบ/ค่าแม่แรง เว้นแต่ระบุไว้เฉพาะรายการ (ยกเว้นค่าไฟฟ้าที่รวมค่าแรงแบบเหมาจุด)</t>
        </is>
      </c>
    </row>
    <row r="4">
      <c r="A4" s="3" t="inlineStr">
        <is>
          <t>No.</t>
        </is>
      </c>
      <c r="B4" s="3" t="inlineStr">
        <is>
          <t>รายการ</t>
        </is>
      </c>
      <c r="C4" s="3" t="inlineStr">
        <is>
          <t>ปริมาณ</t>
        </is>
      </c>
      <c r="D4" s="3" t="inlineStr">
        <is>
          <t>หน่วย</t>
        </is>
      </c>
      <c r="E4" s="3" t="inlineStr">
        <is>
          <t>ราคา/หน่วย (บาท)</t>
        </is>
      </c>
      <c r="F4" s="3" t="inlineStr">
        <is>
          <t>รวม (บาท)</t>
        </is>
      </c>
      <c r="G4" s="3" t="inlineStr">
        <is>
          <t>หมายเหตุ</t>
        </is>
      </c>
    </row>
    <row r="5">
      <c r="A5" s="4" t="inlineStr">
        <is>
          <t>1. ฐานราก + คานคอดิน + เสา</t>
        </is>
      </c>
      <c r="B5" s="5" t="n"/>
      <c r="C5" s="5" t="n"/>
      <c r="D5" s="5" t="n"/>
      <c r="E5" s="5" t="n"/>
      <c r="F5" s="5" t="n"/>
      <c r="G5" s="5" t="n"/>
    </row>
    <row r="6">
      <c r="A6" s="5" t="inlineStr">
        <is>
          <t>1.1</t>
        </is>
      </c>
      <c r="B6" s="5" t="inlineStr">
        <is>
          <t>คอนกรีตฐานราก (0.80x0.80x0.15 ม. x 19 ต้น)</t>
        </is>
      </c>
      <c r="C6" s="6" t="n">
        <v>1.824</v>
      </c>
      <c r="D6" s="5" t="inlineStr">
        <is>
          <t>ลบ.ม.</t>
        </is>
      </c>
      <c r="E6" s="7" t="n">
        <v>1800</v>
      </c>
      <c r="F6" s="7">
        <f>C6*E6</f>
        <v/>
      </c>
      <c r="G6" s="5" t="inlineStr">
        <is>
          <t>สมมติฐาน - ไม่มีแบบฐานรากจริง</t>
        </is>
      </c>
    </row>
    <row r="7">
      <c r="A7" s="5" t="inlineStr">
        <is>
          <t>1.2</t>
        </is>
      </c>
      <c r="B7" s="5" t="inlineStr">
        <is>
          <t>เหล็กตะแกรงฐานราก DB12@15ซม 2 ทาง</t>
        </is>
      </c>
      <c r="C7" s="6" t="n">
        <v>162</v>
      </c>
      <c r="D7" s="5" t="inlineStr">
        <is>
          <t>กก.</t>
        </is>
      </c>
      <c r="E7" s="7" t="n">
        <v>19</v>
      </c>
      <c r="F7" s="7">
        <f>C7*E7</f>
        <v/>
      </c>
      <c r="G7" s="5" t="inlineStr"/>
    </row>
    <row r="8">
      <c r="A8" s="5" t="inlineStr">
        <is>
          <t>1.3</t>
        </is>
      </c>
      <c r="B8" s="5" t="inlineStr">
        <is>
          <t>คอนกรีตหยาบรองก้นฐาน</t>
        </is>
      </c>
      <c r="C8" s="6" t="n">
        <v>0.77</v>
      </c>
      <c r="D8" s="5" t="inlineStr">
        <is>
          <t>ลบ.ม.</t>
        </is>
      </c>
      <c r="E8" s="7" t="n">
        <v>1080</v>
      </c>
      <c r="F8" s="7">
        <f>C8*E8</f>
        <v/>
      </c>
      <c r="G8" s="5" t="inlineStr"/>
    </row>
    <row r="9">
      <c r="A9" s="5" t="inlineStr">
        <is>
          <t>1.4</t>
        </is>
      </c>
      <c r="B9" s="5" t="inlineStr">
        <is>
          <t>คอนกรีตคานคอดิน 30x40 ซม. (ยาว 75.51 ม.)</t>
        </is>
      </c>
      <c r="C9" s="6" t="n">
        <v>9.06</v>
      </c>
      <c r="D9" s="5" t="inlineStr">
        <is>
          <t>ลบ.ม.</t>
        </is>
      </c>
      <c r="E9" s="7" t="n">
        <v>1800</v>
      </c>
      <c r="F9" s="7">
        <f>C9*E9</f>
        <v/>
      </c>
      <c r="G9" s="5" t="inlineStr"/>
    </row>
    <row r="10">
      <c r="A10" s="5" t="inlineStr">
        <is>
          <t>1.5</t>
        </is>
      </c>
      <c r="B10" s="5" t="inlineStr">
        <is>
          <t>เหล็กหลักคาน DB12 x 4 เส้น (+10% เผื่อทาบ)</t>
        </is>
      </c>
      <c r="C10" s="6" t="n">
        <v>295</v>
      </c>
      <c r="D10" s="5" t="inlineStr">
        <is>
          <t>กก.</t>
        </is>
      </c>
      <c r="E10" s="7" t="n">
        <v>19</v>
      </c>
      <c r="F10" s="7">
        <f>C10*E10</f>
        <v/>
      </c>
      <c r="G10" s="5" t="inlineStr"/>
    </row>
    <row r="11">
      <c r="A11" s="5" t="inlineStr">
        <is>
          <t>1.6</t>
        </is>
      </c>
      <c r="B11" s="5" t="inlineStr">
        <is>
          <t>ปลอกเหล็กคาน RB6@20ซม. (385 ปลอก)</t>
        </is>
      </c>
      <c r="C11" s="6" t="n">
        <v>111.1</v>
      </c>
      <c r="D11" s="5" t="inlineStr">
        <is>
          <t>กก.</t>
        </is>
      </c>
      <c r="E11" s="7" t="n">
        <v>21</v>
      </c>
      <c r="F11" s="7">
        <f>C11*E11</f>
        <v/>
      </c>
      <c r="G11" s="5" t="inlineStr"/>
    </row>
    <row r="12">
      <c r="A12" s="5" t="inlineStr">
        <is>
          <t>1.7</t>
        </is>
      </c>
      <c r="B12" s="5" t="inlineStr">
        <is>
          <t>ลวดผูกเหล็ก/ลูกปูนรองเหล็ก (คาน)</t>
        </is>
      </c>
      <c r="C12" s="6" t="n">
        <v>1</v>
      </c>
      <c r="D12" s="5" t="inlineStr">
        <is>
          <t>เหมา</t>
        </is>
      </c>
      <c r="E12" s="7" t="n">
        <v>1200</v>
      </c>
      <c r="F12" s="7">
        <f>C12*E12</f>
        <v/>
      </c>
      <c r="G12" s="5" t="inlineStr"/>
    </row>
    <row r="13">
      <c r="A13" s="5" t="inlineStr">
        <is>
          <t>1.8</t>
        </is>
      </c>
      <c r="B13" s="5" t="inlineStr">
        <is>
          <t>เสาสำเร็จ</t>
        </is>
      </c>
      <c r="C13" s="6" t="n">
        <v>19</v>
      </c>
      <c r="D13" s="5" t="inlineStr">
        <is>
          <t>ต้น</t>
        </is>
      </c>
      <c r="E13" s="7" t="n">
        <v>1500</v>
      </c>
      <c r="F13" s="7">
        <f>C13*E13</f>
        <v/>
      </c>
      <c r="G13" s="5" t="inlineStr"/>
    </row>
    <row r="14">
      <c r="A14" s="8" t="n"/>
      <c r="B14" s="8" t="inlineStr">
        <is>
          <t>รวม หมวด 1 ฐานราก+คาน+เสา</t>
        </is>
      </c>
      <c r="C14" s="8" t="n"/>
      <c r="D14" s="8" t="n"/>
      <c r="E14" s="8" t="n"/>
      <c r="F14" s="9" t="n">
        <v>61142</v>
      </c>
      <c r="G14" s="8" t="n"/>
    </row>
    <row r="15">
      <c r="A15" s="4" t="inlineStr">
        <is>
          <t>2. ผนังก่ออิฐบล็อก</t>
        </is>
      </c>
      <c r="B15" s="5" t="n"/>
      <c r="C15" s="5" t="n"/>
      <c r="D15" s="5" t="n"/>
      <c r="E15" s="5" t="n"/>
      <c r="F15" s="5" t="n"/>
      <c r="G15" s="5" t="n"/>
    </row>
    <row r="16">
      <c r="A16" s="5" t="inlineStr">
        <is>
          <t>2.1</t>
        </is>
      </c>
      <c r="B16" s="5" t="inlineStr">
        <is>
          <t>อิฐบล็อก 19x39 ซม. หนา 6 ซม. (พื้นที่สุทธิ 190.55 ตร.ม. +5% เผื่อเสีย)</t>
        </is>
      </c>
      <c r="C16" s="6" t="n">
        <v>2700</v>
      </c>
      <c r="D16" s="5" t="inlineStr">
        <is>
          <t>ก้อน</t>
        </is>
      </c>
      <c r="E16" s="7" t="n">
        <v>7</v>
      </c>
      <c r="F16" s="7">
        <f>C16*E16</f>
        <v/>
      </c>
      <c r="G16" s="5" t="inlineStr"/>
    </row>
    <row r="17">
      <c r="A17" s="5" t="inlineStr">
        <is>
          <t>2.2</t>
        </is>
      </c>
      <c r="B17" s="5" t="inlineStr">
        <is>
          <t>ปูนสำเร็จรูปก่ออิฐ</t>
        </is>
      </c>
      <c r="C17" s="6" t="n">
        <v>76</v>
      </c>
      <c r="D17" s="5" t="inlineStr">
        <is>
          <t>ถุง (50กก.)</t>
        </is>
      </c>
      <c r="E17" s="7" t="n">
        <v>145</v>
      </c>
      <c r="F17" s="7">
        <f>C17*E17</f>
        <v/>
      </c>
      <c r="G17" s="5" t="inlineStr"/>
    </row>
    <row r="18">
      <c r="A18" s="5" t="inlineStr">
        <is>
          <t>2.3</t>
        </is>
      </c>
      <c r="B18" s="5" t="inlineStr">
        <is>
          <t>ปูนสำเร็จรูปฉาบผนัง 2 หน้า</t>
        </is>
      </c>
      <c r="C18" s="6" t="n">
        <v>191</v>
      </c>
      <c r="D18" s="5" t="inlineStr">
        <is>
          <t>ถุง (50กก.)</t>
        </is>
      </c>
      <c r="E18" s="7" t="n">
        <v>145</v>
      </c>
      <c r="F18" s="7">
        <f>C18*E18</f>
        <v/>
      </c>
      <c r="G18" s="5" t="inlineStr"/>
    </row>
    <row r="19">
      <c r="A19" s="5" t="inlineStr">
        <is>
          <t>2.4</t>
        </is>
      </c>
      <c r="B19" s="5" t="inlineStr">
        <is>
          <t>คอนกรีตเอ็น-ทับหลัง (หน้าตัด 10x10ซม. ยาวรวม 273.21ม.)</t>
        </is>
      </c>
      <c r="C19" s="6" t="n">
        <v>2.73</v>
      </c>
      <c r="D19" s="5" t="inlineStr">
        <is>
          <t>ลบ.ม.</t>
        </is>
      </c>
      <c r="E19" s="7" t="n">
        <v>1800</v>
      </c>
      <c r="F19" s="7">
        <f>C19*E19</f>
        <v/>
      </c>
      <c r="G19" s="5" t="inlineStr"/>
    </row>
    <row r="20">
      <c r="A20" s="5" t="inlineStr">
        <is>
          <t>2.5</t>
        </is>
      </c>
      <c r="B20" s="5" t="inlineStr">
        <is>
          <t>เหล็กหลักเอ็น-ทับหลัง DB9 x 4 เส้น (+8% เผื่อทาบ)</t>
        </is>
      </c>
      <c r="C20" s="6" t="n">
        <v>589</v>
      </c>
      <c r="D20" s="5" t="inlineStr">
        <is>
          <t>กก.</t>
        </is>
      </c>
      <c r="E20" s="7" t="n">
        <v>20</v>
      </c>
      <c r="F20" s="7">
        <f>C20*E20</f>
        <v/>
      </c>
      <c r="G20" s="5" t="inlineStr"/>
    </row>
    <row r="21">
      <c r="A21" s="5" t="inlineStr">
        <is>
          <t>2.6</t>
        </is>
      </c>
      <c r="B21" s="5" t="inlineStr">
        <is>
          <t>ปลอกเหล็กเอ็น-ทับหลัง RB6@15ซม.</t>
        </is>
      </c>
      <c r="C21" s="6" t="n">
        <v>177.9</v>
      </c>
      <c r="D21" s="5" t="inlineStr">
        <is>
          <t>กก.</t>
        </is>
      </c>
      <c r="E21" s="7" t="n">
        <v>21</v>
      </c>
      <c r="F21" s="7">
        <f>C21*E21</f>
        <v/>
      </c>
      <c r="G21" s="5" t="inlineStr"/>
    </row>
    <row r="22">
      <c r="A22" s="8" t="n"/>
      <c r="B22" s="8" t="inlineStr">
        <is>
          <t>รวม หมวด 2 ผนัง</t>
        </is>
      </c>
      <c r="C22" s="8" t="n"/>
      <c r="D22" s="8" t="n"/>
      <c r="E22" s="8" t="n"/>
      <c r="F22" s="9" t="n">
        <v>78016</v>
      </c>
      <c r="G22" s="8" t="n"/>
    </row>
    <row r="23">
      <c r="A23" s="4" t="inlineStr">
        <is>
          <t>3. ฝ้าเพดาน</t>
        </is>
      </c>
      <c r="B23" s="5" t="n"/>
      <c r="C23" s="5" t="n"/>
      <c r="D23" s="5" t="n"/>
      <c r="E23" s="5" t="n"/>
      <c r="F23" s="5" t="n"/>
      <c r="G23" s="5" t="n"/>
    </row>
    <row r="24">
      <c r="A24" s="5" t="inlineStr">
        <is>
          <t>3.1</t>
        </is>
      </c>
      <c r="B24" s="5" t="inlineStr">
        <is>
          <t>ฝ้าฉาบเรียบ (เฉพาะวัสดุ: บอร์ด+โครงคร่าว+สกิม)</t>
        </is>
      </c>
      <c r="C24" s="6" t="n">
        <v>129.82</v>
      </c>
      <c r="D24" s="5" t="inlineStr">
        <is>
          <t>ตร.ม.</t>
        </is>
      </c>
      <c r="E24" s="7" t="n">
        <v>110</v>
      </c>
      <c r="F24" s="7">
        <f>C24*E24</f>
        <v/>
      </c>
      <c r="G24" s="5" t="inlineStr"/>
    </row>
    <row r="25">
      <c r="A25" s="8" t="n"/>
      <c r="B25" s="8" t="inlineStr">
        <is>
          <t>รวม หมวด 3 ฝ้าเพดาน</t>
        </is>
      </c>
      <c r="C25" s="8" t="n"/>
      <c r="D25" s="8" t="n"/>
      <c r="E25" s="8" t="n"/>
      <c r="F25" s="9" t="n">
        <v>14280</v>
      </c>
      <c r="G25" s="8" t="n"/>
    </row>
    <row r="26">
      <c r="A26" s="4" t="inlineStr">
        <is>
          <t>4. หลังคา</t>
        </is>
      </c>
      <c r="B26" s="5" t="n"/>
      <c r="C26" s="5" t="n"/>
      <c r="D26" s="5" t="n"/>
      <c r="E26" s="5" t="n"/>
      <c r="F26" s="5" t="n"/>
      <c r="G26" s="5" t="n"/>
    </row>
    <row r="27">
      <c r="A27" s="5" t="inlineStr">
        <is>
          <t>4.1</t>
        </is>
      </c>
      <c r="B27" s="5" t="inlineStr">
        <is>
          <t>เหล็กโครงหลังคา (ประมาณ 10 กก./ตร.ม. x 277.52 ตร.ม.)</t>
        </is>
      </c>
      <c r="C27" s="6" t="n">
        <v>2775.2</v>
      </c>
      <c r="D27" s="5" t="inlineStr">
        <is>
          <t>กก.</t>
        </is>
      </c>
      <c r="E27" s="7" t="n">
        <v>30</v>
      </c>
      <c r="F27" s="7">
        <f>C27*E27</f>
        <v/>
      </c>
      <c r="G27" s="5" t="inlineStr">
        <is>
          <t>ประมาณการ - ไม่มีแบบโครงเหล็กจริง</t>
        </is>
      </c>
    </row>
    <row r="28">
      <c r="A28" s="5" t="inlineStr">
        <is>
          <t>4.2</t>
        </is>
      </c>
      <c r="B28" s="5" t="inlineStr">
        <is>
          <t>เมทัลชีท 760 มม. (พื้นที่ลาดจริง 300.57 ตร.ม. / ใช้งานจริง 0.70ม.)</t>
        </is>
      </c>
      <c r="C28" s="6" t="n">
        <v>429.4</v>
      </c>
      <c r="D28" s="5" t="inlineStr">
        <is>
          <t>เมตร</t>
        </is>
      </c>
      <c r="E28" s="7" t="n">
        <v>315</v>
      </c>
      <c r="F28" s="7">
        <f>C28*E28</f>
        <v/>
      </c>
      <c r="G28" s="5" t="inlineStr"/>
    </row>
    <row r="29">
      <c r="A29" s="8" t="n"/>
      <c r="B29" s="8" t="inlineStr">
        <is>
          <t>รวม หมวด 4 หลังคา</t>
        </is>
      </c>
      <c r="C29" s="8" t="n"/>
      <c r="D29" s="8" t="n"/>
      <c r="E29" s="8" t="n"/>
      <c r="F29" s="9" t="n">
        <v>218512</v>
      </c>
      <c r="G29" s="8" t="n"/>
    </row>
    <row r="30">
      <c r="A30" s="4" t="inlineStr">
        <is>
          <t>5. ประตู-หน้าต่าง</t>
        </is>
      </c>
      <c r="B30" s="5" t="n"/>
      <c r="C30" s="5" t="n"/>
      <c r="D30" s="5" t="n"/>
      <c r="E30" s="5" t="n"/>
      <c r="F30" s="5" t="n"/>
      <c r="G30" s="5" t="n"/>
    </row>
    <row r="31">
      <c r="A31" s="5" t="inlineStr">
        <is>
          <t>5.1</t>
        </is>
      </c>
      <c r="B31" s="5" t="inlineStr">
        <is>
          <t>ประตู 9 บาน + หน้าต่าง 18 บาน (เหมารวม)</t>
        </is>
      </c>
      <c r="C31" s="6" t="n">
        <v>1</v>
      </c>
      <c r="D31" s="5" t="inlineStr">
        <is>
          <t>เหมา</t>
        </is>
      </c>
      <c r="E31" s="7" t="n">
        <v>70000</v>
      </c>
      <c r="F31" s="7">
        <f>C31*E31</f>
        <v/>
      </c>
      <c r="G31" s="5" t="inlineStr"/>
    </row>
    <row r="32">
      <c r="A32" s="8" t="n"/>
      <c r="B32" s="8" t="inlineStr">
        <is>
          <t>รวม หมวด 5 ประตู-หน้าต่าง</t>
        </is>
      </c>
      <c r="C32" s="8" t="n"/>
      <c r="D32" s="8" t="n"/>
      <c r="E32" s="8" t="n"/>
      <c r="F32" s="9" t="n">
        <v>70000</v>
      </c>
      <c r="G32" s="8" t="n"/>
    </row>
    <row r="33">
      <c r="A33" s="4" t="inlineStr">
        <is>
          <t>6. ห้องน้ำ (2 ห้อง)</t>
        </is>
      </c>
      <c r="B33" s="5" t="n"/>
      <c r="C33" s="5" t="n"/>
      <c r="D33" s="5" t="n"/>
      <c r="E33" s="5" t="n"/>
      <c r="F33" s="5" t="n"/>
      <c r="G33" s="5" t="n"/>
    </row>
    <row r="34">
      <c r="A34" s="5" t="inlineStr">
        <is>
          <t>6.1</t>
        </is>
      </c>
      <c r="B34" s="5" t="inlineStr">
        <is>
          <t>กระเบื้องพื้นห้องน้ำ</t>
        </is>
      </c>
      <c r="C34" s="6" t="n">
        <v>12.94</v>
      </c>
      <c r="D34" s="5" t="inlineStr">
        <is>
          <t>ตร.ม.</t>
        </is>
      </c>
      <c r="E34" s="7" t="n">
        <v>200</v>
      </c>
      <c r="F34" s="7">
        <f>C34*E34</f>
        <v/>
      </c>
      <c r="G34" s="5" t="inlineStr"/>
    </row>
    <row r="35">
      <c r="A35" s="5" t="inlineStr">
        <is>
          <t>6.2</t>
        </is>
      </c>
      <c r="B35" s="5" t="inlineStr">
        <is>
          <t>กระเบื้องผนังห้องน้ำ (สูง 2.50ม.)</t>
        </is>
      </c>
      <c r="C35" s="6" t="n">
        <v>51.26</v>
      </c>
      <c r="D35" s="5" t="inlineStr">
        <is>
          <t>ตร.ม.</t>
        </is>
      </c>
      <c r="E35" s="7" t="n">
        <v>343</v>
      </c>
      <c r="F35" s="7">
        <f>C35*E35</f>
        <v/>
      </c>
      <c r="G35" s="5" t="inlineStr"/>
    </row>
    <row r="36">
      <c r="A36" s="5" t="inlineStr">
        <is>
          <t>6.3</t>
        </is>
      </c>
      <c r="B36" s="5" t="inlineStr">
        <is>
          <t>ยาแนวกระเบื้องห้องน้ำ</t>
        </is>
      </c>
      <c r="C36" s="6" t="n">
        <v>15</v>
      </c>
      <c r="D36" s="5" t="inlineStr">
        <is>
          <t>ถุง (1กก.)</t>
        </is>
      </c>
      <c r="E36" s="7" t="n">
        <v>40</v>
      </c>
      <c r="F36" s="7">
        <f>C36*E36</f>
        <v/>
      </c>
      <c r="G36" s="5" t="inlineStr"/>
    </row>
    <row r="37">
      <c r="A37" s="5" t="inlineStr">
        <is>
          <t>6.4</t>
        </is>
      </c>
      <c r="B37" s="5" t="inlineStr">
        <is>
          <t>สุขภัณฑ์ (โถส้วม) x2 ห้อง</t>
        </is>
      </c>
      <c r="C37" s="6" t="n">
        <v>2</v>
      </c>
      <c r="D37" s="5" t="inlineStr">
        <is>
          <t>ชุด</t>
        </is>
      </c>
      <c r="E37" s="7" t="n">
        <v>6500</v>
      </c>
      <c r="F37" s="7">
        <f>C37*E37</f>
        <v/>
      </c>
      <c r="G37" s="5" t="inlineStr"/>
    </row>
    <row r="38">
      <c r="A38" s="5" t="inlineStr">
        <is>
          <t>6.5</t>
        </is>
      </c>
      <c r="B38" s="5" t="inlineStr">
        <is>
          <t>อ่างล้างหน้า x2 ห้อง</t>
        </is>
      </c>
      <c r="C38" s="6" t="n">
        <v>2</v>
      </c>
      <c r="D38" s="5" t="inlineStr">
        <is>
          <t>ชุด</t>
        </is>
      </c>
      <c r="E38" s="7" t="n">
        <v>2000</v>
      </c>
      <c r="F38" s="7">
        <f>C38*E38</f>
        <v/>
      </c>
      <c r="G38" s="5" t="inlineStr"/>
    </row>
    <row r="39">
      <c r="A39" s="5" t="inlineStr">
        <is>
          <t>6.6</t>
        </is>
      </c>
      <c r="B39" s="5" t="inlineStr">
        <is>
          <t>อุปกรณ์วางสบู่+กระจก x2 ห้อง</t>
        </is>
      </c>
      <c r="C39" s="6" t="n">
        <v>2</v>
      </c>
      <c r="D39" s="5" t="inlineStr">
        <is>
          <t>ชุด</t>
        </is>
      </c>
      <c r="E39" s="7" t="n">
        <v>2000</v>
      </c>
      <c r="F39" s="7">
        <f>C39*E39</f>
        <v/>
      </c>
      <c r="G39" s="5" t="inlineStr"/>
    </row>
    <row r="40">
      <c r="A40" s="5" t="inlineStr">
        <is>
          <t>6.7</t>
        </is>
      </c>
      <c r="B40" s="5" t="inlineStr">
        <is>
          <t>ก๊อกน้ำ+วาล์ว x2 ห้อง</t>
        </is>
      </c>
      <c r="C40" s="6" t="n">
        <v>2</v>
      </c>
      <c r="D40" s="5" t="inlineStr">
        <is>
          <t>ชุด</t>
        </is>
      </c>
      <c r="E40" s="7" t="n">
        <v>1000</v>
      </c>
      <c r="F40" s="7">
        <f>C40*E40</f>
        <v/>
      </c>
      <c r="G40" s="5" t="inlineStr"/>
    </row>
    <row r="41">
      <c r="A41" s="8" t="n"/>
      <c r="B41" s="8" t="inlineStr">
        <is>
          <t>รวม หมวด 6 ห้องน้ำ</t>
        </is>
      </c>
      <c r="C41" s="8" t="n"/>
      <c r="D41" s="8" t="n"/>
      <c r="E41" s="8" t="n"/>
      <c r="F41" s="9" t="n">
        <v>43770</v>
      </c>
      <c r="G41" s="8" t="n"/>
    </row>
    <row r="42">
      <c r="A42" s="4" t="inlineStr">
        <is>
          <t>7. กระเบื้องพื้นในบ้าน + ลานหน้าบ้าน</t>
        </is>
      </c>
      <c r="B42" s="5" t="n"/>
      <c r="C42" s="5" t="n"/>
      <c r="D42" s="5" t="n"/>
      <c r="E42" s="5" t="n"/>
      <c r="F42" s="5" t="n"/>
      <c r="G42" s="5" t="n"/>
    </row>
    <row r="43">
      <c r="A43" s="5" t="inlineStr">
        <is>
          <t>7.1</t>
        </is>
      </c>
      <c r="B43" s="5" t="inlineStr">
        <is>
          <t>กระเบื้องแกรนิโต้ 60x60 ซม. (พื้นที่ 141.70 ตร.ม. +10% เผื่อเสีย)</t>
        </is>
      </c>
      <c r="C43" s="6" t="n">
        <v>155.87</v>
      </c>
      <c r="D43" s="5" t="inlineStr">
        <is>
          <t>ตร.ม.</t>
        </is>
      </c>
      <c r="E43" s="7" t="n">
        <v>200</v>
      </c>
      <c r="F43" s="7">
        <f>C43*E43</f>
        <v/>
      </c>
      <c r="G43" s="5" t="inlineStr"/>
    </row>
    <row r="44">
      <c r="A44" s="5" t="inlineStr">
        <is>
          <t>7.2</t>
        </is>
      </c>
      <c r="B44" s="5" t="inlineStr">
        <is>
          <t>ยาแนวกระเบื้องพื้น</t>
        </is>
      </c>
      <c r="C44" s="6" t="n">
        <v>29</v>
      </c>
      <c r="D44" s="5" t="inlineStr">
        <is>
          <t>ถุง (1กก.)</t>
        </is>
      </c>
      <c r="E44" s="7" t="n">
        <v>40</v>
      </c>
      <c r="F44" s="7">
        <f>C44*E44</f>
        <v/>
      </c>
      <c r="G44" s="5" t="inlineStr"/>
    </row>
    <row r="45">
      <c r="A45" s="8" t="n"/>
      <c r="B45" s="8" t="inlineStr">
        <is>
          <t>รวม หมวด 7 กระเบื้องพื้น</t>
        </is>
      </c>
      <c r="C45" s="8" t="n"/>
      <c r="D45" s="8" t="n"/>
      <c r="E45" s="8" t="n"/>
      <c r="F45" s="9" t="n">
        <v>32334</v>
      </c>
      <c r="G45" s="8" t="n"/>
    </row>
    <row r="46">
      <c r="A46" s="4" t="inlineStr">
        <is>
          <t>8. งานไฟฟ้า</t>
        </is>
      </c>
      <c r="B46" s="5" t="n"/>
      <c r="C46" s="5" t="n"/>
      <c r="D46" s="5" t="n"/>
      <c r="E46" s="5" t="n"/>
      <c r="F46" s="5" t="n"/>
      <c r="G46" s="5" t="n"/>
    </row>
    <row r="47">
      <c r="A47" s="5" t="inlineStr">
        <is>
          <t>8.1</t>
        </is>
      </c>
      <c r="B47" s="5" t="inlineStr">
        <is>
          <t>จุดไฟฟ้า (ปลั๊ก/สวิตช์/โคมไฟ ฯลฯ) x2 เผื่อ</t>
        </is>
      </c>
      <c r="C47" s="6" t="n">
        <v>74</v>
      </c>
      <c r="D47" s="5" t="inlineStr">
        <is>
          <t>จุด</t>
        </is>
      </c>
      <c r="E47" s="7" t="n">
        <v>400</v>
      </c>
      <c r="F47" s="7">
        <f>C47*E47</f>
        <v/>
      </c>
      <c r="G47" s="5" t="inlineStr">
        <is>
          <t>รวมค่าแรงเดินสายแบบเหมาจุด</t>
        </is>
      </c>
    </row>
    <row r="48">
      <c r="A48" s="8" t="n"/>
      <c r="B48" s="8" t="inlineStr">
        <is>
          <t>รวม หมวด 8 งานไฟฟ้า</t>
        </is>
      </c>
      <c r="C48" s="8" t="n"/>
      <c r="D48" s="8" t="n"/>
      <c r="E48" s="8" t="n"/>
      <c r="F48" s="9" t="n">
        <v>29600</v>
      </c>
      <c r="G48" s="8" t="n"/>
    </row>
    <row r="50">
      <c r="A50" s="10" t="n"/>
      <c r="B50" s="10" t="inlineStr">
        <is>
          <t>รวมทั้งหมดทุกหมวด (Grand Total)</t>
        </is>
      </c>
      <c r="C50" s="10" t="n"/>
      <c r="D50" s="10" t="n"/>
      <c r="E50" s="10" t="n"/>
      <c r="F50" s="11" t="n">
        <v>547654</v>
      </c>
      <c r="G50" s="10" t="n"/>
    </row>
  </sheetData>
  <mergeCells count="19">
    <mergeCell ref="A42:G42"/>
    <mergeCell ref="B32:E32"/>
    <mergeCell ref="B45:E45"/>
    <mergeCell ref="B41:E41"/>
    <mergeCell ref="B50:E50"/>
    <mergeCell ref="A30:G30"/>
    <mergeCell ref="B25:E25"/>
    <mergeCell ref="A15:G15"/>
    <mergeCell ref="B22:E22"/>
    <mergeCell ref="A1:G1"/>
    <mergeCell ref="B48:E48"/>
    <mergeCell ref="B14:E14"/>
    <mergeCell ref="A46:G46"/>
    <mergeCell ref="A26:G26"/>
    <mergeCell ref="B29:E29"/>
    <mergeCell ref="A2:G2"/>
    <mergeCell ref="A33:G33"/>
    <mergeCell ref="A5:G5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2026-09-12T18:59:15Z</dcterms:created>
  <dcterms:modified xsi:type="dcterms:W3CDTF">2026-09-12T18:59:15Z</dcterms:modified>
</cp:coreProperties>
</file>